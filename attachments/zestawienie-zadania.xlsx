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<sst xmlns="http://schemas.openxmlformats.org/spreadsheetml/2006/main" count="121" uniqueCount="71">
  <si>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</si>
  <si>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 dostępnego pod adresem https://konstela.org/arkusz/budzet-edycji-pierwszej. Sumy przeliczają się same.</t>
  </si>
  <si>
    <t xml:space="preserve">Ostatnia kolumna mówi, czy pozycja mieści się w zakresie pytania do Ministerstwa, a nie czy wnoszę o jej sfinansowanie. Objaśnienie pod tabelą.</t>
  </si>
  <si>
    <t xml:space="preserve"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</si>
  <si>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</si>
  <si>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</si>
  <si>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</si>
  <si>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</si>
  <si>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Koszt 2027</t>
  </si>
  <si>
    <t xml:space="preserve">Koszt 2028</t>
  </si>
  <si>
    <t xml:space="preserve">Planowane źródło</t>
  </si>
  <si>
    <t xml:space="preserve">W zakresie pytania do MKiDN</t>
  </si>
  <si>
    <t xml:space="preserve">Plebiscyt na rozmowę: nabór, ocena, nagrody i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</si>
  <si>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</si>
  <si>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</si>
  <si>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</si>
  <si>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</si>
  <si>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</si>
  <si>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</si>
  <si>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</si>
  <si>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-</t>
  </si>
  <si>
    <t xml:space="preserve">sponsor gali</t>
  </si>
  <si>
    <t xml:space="preserve">Antologia, Archiwum i podcast</t>
  </si>
  <si>
    <t xml:space="preserve">e-book bezpłatny, audiobook, wydanie książkowe, publiczne Archiwum</t>
  </si>
  <si>
    <t xml:space="preserve">partner wydawniczy lub sponsor organizacyjny</t>
  </si>
  <si>
    <t xml:space="preserve">Uruchomienie: fundacja, znak towarowy, strona i narzędzia</t>
  </si>
  <si>
    <t xml:space="preserve">fundacja w KRS, regulamin po konsultacji, narzędzia dla czterech plebiscytów</t>
  </si>
  <si>
    <t xml:space="preserve">2027</t>
  </si>
  <si>
    <t xml:space="preserve">mecenas założycielski</t>
  </si>
  <si>
    <t xml:space="preserve">Pierwsza runda oceny: Akademia rozmów i filmów</t>
  </si>
  <si>
    <t xml:space="preserve">przesiew zgłoszeń, dwa odczyty rozmowy i dwa obejrzenia filmu</t>
  </si>
  <si>
    <t xml:space="preserve">sponsor akademii</t>
  </si>
  <si>
    <t xml:space="preserve">Plebiscyt na piosenkę: nabór, ocena, nagrody i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</si>
  <si>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</si>
  <si>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</si>
  <si>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</si>
  <si>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</si>
  <si>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możliwość realizacji nagrania studyjnego dla każdego finalisty</t>
  </si>
  <si>
    <t xml:space="preserve">sponsor plebiscytu albo mecenas muzyczny</t>
  </si>
  <si>
    <t xml:space="preserve">Hymn Nagrody z teledyskiem</t>
  </si>
  <si>
    <t xml:space="preserve">nagranie i premiera w czasie trwania naboru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</si>
  <si>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</si>
  <si>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</si>
  <si>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</si>
  <si>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 i obieg oryginałów</t>
  </si>
  <si>
    <t xml:space="preserve">plebiscyt, okładka antologii, Archiwum prac</t>
  </si>
  <si>
    <t xml:space="preserve">mecenas plebiscytu na plakat</t>
  </si>
  <si>
    <t xml:space="preserve">Wystawa prac finałowych przy gali</t>
  </si>
  <si>
    <t xml:space="preserve">dziesięć prac pokazanych publiczności w dniu rozstrzygnięcia</t>
  </si>
  <si>
    <t xml:space="preserve">Wystawa w galerii sztuki z cichą licytacją</t>
  </si>
  <si>
    <t xml:space="preserve">te same prace pokazane po gali, jeżeli znajdzie się galeria</t>
  </si>
  <si>
    <t xml:space="preserve">partner galerii</t>
  </si>
  <si>
    <t xml:space="preserve">Plebiscyt na film: nabór, ocena, nagrody i prowadzenie</t>
  </si>
  <si>
    <t xml:space="preserve">plebiscyt, dziesięć filmów finałowych, Projektornia i Archiwum</t>
  </si>
  <si>
    <t xml:space="preserve">sponsor plebiscytu na film</t>
  </si>
  <si>
    <t xml:space="preserve">Pokaz kuratorski filmów finałowych</t>
  </si>
  <si>
    <t xml:space="preserve">seans z wyboru dziesiątki, wstęp wolny, spotkanie z twórcami</t>
  </si>
  <si>
    <t xml:space="preserve">Kopie archiwalne filmów i ich magazyn</t>
  </si>
  <si>
    <t xml:space="preserve">zachowanie zgłoszonych filmów przez pięć lat, bez publicznego udostępniania</t>
  </si>
  <si>
    <t xml:space="preserve">Zwiastuny piątki na gali, a przy pokazach przygotowanie techniczne</t>
  </si>
  <si>
    <t xml:space="preserve">zwiastuny pięciu filmów na gali</t>
  </si>
  <si>
    <t xml:space="preserve">Podcast towarzyszący Nagrodzie</t>
  </si>
  <si>
    <t xml:space="preserve">bezpłatny materiał edukacyjny</t>
  </si>
  <si>
    <t xml:space="preserve">sponsor podcastu</t>
  </si>
  <si>
    <t xml:space="preserve">Razem, wiersze objęte prośbą ("tak" w ostatniej kolumnie)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</si>
  <si>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</si>
  <si>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</si>
  <si>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</si>
  <si>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</si>
  <si>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</si>
  <si>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 innych źródeł.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</si>
</sst>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5]#,##0.00&quot; zł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sz val="9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6" min="5" style="1" width="16"/>
    <col collapsed="false" customWidth="true" hidden="false" outlineLevel="0" max="7" min="7" style="1" width="34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3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</row>
    <row r="6" customFormat="false" ht="15" hidden="false" customHeight="true" outlineLevel="0" collapsed="false">
      <c r="A6" s="6" t="s">
        <v>12</v>
      </c>
      <c r="B6" s="6" t="s">
        <v>13</v>
      </c>
      <c r="C6" s="7" t="s">
        <v>14</v>
      </c>
      <c r="D6" s="8" t="n">
        <v>580289.76</v>
      </c>
      <c r="E6" s="8" t="n">
        <v>102851.22</v>
      </c>
      <c r="F6" s="8" t="n">
        <v>477438.54</v>
      </c>
      <c r="G6" s="6" t="s">
        <v>15</v>
      </c>
      <c r="H6" s="7" t="s">
        <v>16</v>
      </c>
    </row>
    <row r="7" customFormat="false" ht="15" hidden="false" customHeight="true" outlineLevel="0" collapsed="false">
      <c r="A7" s="6" t="s">
        <v>17</v>
      </c>
      <c r="B7" s="6" t="s">
        <v>18</v>
      </c>
      <c r="C7" s="7" t="s">
        <v>19</v>
      </c>
      <c r="D7" s="8" t="n">
        <v>87808</v>
      </c>
      <c r="E7" s="9" t="s">
        <v>20</v>
      </c>
      <c r="F7" s="8" t="n">
        <v>87808</v>
      </c>
      <c r="G7" s="6" t="s">
        <v>21</v>
      </c>
      <c r="H7" s="7" t="s">
        <v>16</v>
      </c>
    </row>
    <row r="8" customFormat="false" ht="23.25" hidden="false" customHeight="true" outlineLevel="0" collapsed="false">
      <c r="A8" s="6" t="s">
        <v>22</v>
      </c>
      <c r="B8" s="6" t="s">
        <v>23</v>
      </c>
      <c r="C8" s="7" t="s">
        <v>14</v>
      </c>
      <c r="D8" s="8" t="n">
        <v>147862</v>
      </c>
      <c r="E8" s="8" t="n">
        <v>20881.72</v>
      </c>
      <c r="F8" s="8" t="n">
        <v>126980.28</v>
      </c>
      <c r="G8" s="6" t="s">
        <v>24</v>
      </c>
      <c r="H8" s="7" t="s">
        <v>16</v>
      </c>
    </row>
    <row r="9" customFormat="false" ht="23.25" hidden="false" customHeight="true" outlineLevel="0" collapsed="false">
      <c r="A9" s="6" t="s">
        <v>25</v>
      </c>
      <c r="B9" s="6" t="s">
        <v>26</v>
      </c>
      <c r="C9" s="7" t="s">
        <v>27</v>
      </c>
      <c r="D9" s="8" t="n">
        <v>167530</v>
      </c>
      <c r="E9" s="8" t="n">
        <v>167530</v>
      </c>
      <c r="F9" s="8" t="s">
        <v>20</v>
      </c>
      <c r="G9" s="6" t="s">
        <v>28</v>
      </c>
      <c r="H9" s="7" t="s">
        <v>16</v>
      </c>
    </row>
    <row r="10" customFormat="false" ht="23.25" hidden="false" customHeight="true" outlineLevel="0" collapsed="false">
      <c r="A10" s="6" t="s">
        <v>29</v>
      </c>
      <c r="B10" s="6" t="s">
        <v>30</v>
      </c>
      <c r="C10" s="7" t="s">
        <v>14</v>
      </c>
      <c r="D10" s="8" t="n">
        <v>160160</v>
      </c>
      <c r="E10" s="8" t="n">
        <v>59360</v>
      </c>
      <c r="F10" s="8" t="n">
        <v>100800</v>
      </c>
      <c r="G10" s="6" t="s">
        <v>31</v>
      </c>
      <c r="H10" s="7" t="s">
        <v>16</v>
      </c>
    </row>
    <row r="11" customFormat="false" ht="15" hidden="false" customHeight="true" outlineLevel="0" collapsed="false">
      <c r="A11" s="6" t="s">
        <v>32</v>
      </c>
      <c r="B11" s="6" t="s">
        <v>33</v>
      </c>
      <c r="C11" s="7" t="s">
        <v>14</v>
      </c>
      <c r="D11" s="8" t="n">
        <v>116216</v>
      </c>
      <c r="E11" s="8" t="n">
        <v>30800</v>
      </c>
      <c r="F11" s="8" t="n">
        <v>85416</v>
      </c>
      <c r="G11" s="6" t="s">
        <v>34</v>
      </c>
      <c r="H11" s="10" t="s">
        <v>35</v>
      </c>
    </row>
    <row r="12" customFormat="false" ht="15" hidden="false" customHeight="true" outlineLevel="0" collapsed="false">
      <c r="A12" s="6" t="s">
        <v>36</v>
      </c>
      <c r="B12" s="6" t="s">
        <v>37</v>
      </c>
      <c r="C12" s="7" t="s">
        <v>19</v>
      </c>
      <c r="D12" s="8" t="n">
        <v>84000</v>
      </c>
      <c r="E12" s="9" t="s">
        <v>20</v>
      </c>
      <c r="F12" s="8" t="n">
        <v>84000</v>
      </c>
      <c r="G12" s="6" t="s">
        <v>38</v>
      </c>
      <c r="H12" s="10" t="s">
        <v>35</v>
      </c>
    </row>
    <row r="13" customFormat="false" ht="15" hidden="false" customHeight="true" outlineLevel="0" collapsed="false">
      <c r="A13" s="6" t="s">
        <v>39</v>
      </c>
      <c r="B13" s="6" t="s">
        <v>40</v>
      </c>
      <c r="C13" s="7" t="s">
        <v>27</v>
      </c>
      <c r="D13" s="8" t="n">
        <v>89600</v>
      </c>
      <c r="E13" s="8" t="n">
        <v>89600</v>
      </c>
      <c r="F13" s="9" t="s">
        <v>20</v>
      </c>
      <c r="G13" s="6" t="s">
        <v>34</v>
      </c>
      <c r="H13" s="10" t="s">
        <v>35</v>
      </c>
    </row>
    <row r="14" customFormat="false" ht="23.25" hidden="false" customHeight="true" outlineLevel="0" collapsed="false">
      <c r="A14" s="6" t="s">
        <v>41</v>
      </c>
      <c r="B14" s="6" t="s">
        <v>42</v>
      </c>
      <c r="C14" s="7" t="s">
        <v>19</v>
      </c>
      <c r="D14" s="9" t="s">
        <v>43</v>
      </c>
      <c r="E14" s="9" t="s">
        <v>43</v>
      </c>
      <c r="F14" s="9" t="s">
        <v>43</v>
      </c>
      <c r="G14" s="6" t="s">
        <v>34</v>
      </c>
      <c r="H14" s="10" t="s">
        <v>35</v>
      </c>
    </row>
    <row r="15" customFormat="false" ht="23.25" hidden="false" customHeight="true" outlineLevel="0" collapsed="false">
      <c r="A15" s="6" t="s">
        <v>44</v>
      </c>
      <c r="B15" s="6" t="s">
        <v>45</v>
      </c>
      <c r="C15" s="7" t="s">
        <v>14</v>
      </c>
      <c r="D15" s="8" t="n">
        <v>190928</v>
      </c>
      <c r="E15" s="8" t="n">
        <v>30800</v>
      </c>
      <c r="F15" s="8" t="n">
        <v>160128</v>
      </c>
      <c r="G15" s="6" t="s">
        <v>46</v>
      </c>
      <c r="H15" s="10" t="s">
        <v>35</v>
      </c>
    </row>
    <row r="16" customFormat="false" ht="23.25" hidden="false" customHeight="true" outlineLevel="0" collapsed="false">
      <c r="A16" s="6" t="s">
        <v>47</v>
      </c>
      <c r="B16" s="6" t="s">
        <v>48</v>
      </c>
      <c r="C16" s="7" t="s">
        <v>19</v>
      </c>
      <c r="D16" s="9" t="n">
        <v>8960</v>
      </c>
      <c r="E16" s="9" t="s">
        <v>20</v>
      </c>
      <c r="F16" s="9" t="n">
        <v>8960</v>
      </c>
      <c r="G16" s="6" t="s">
        <v>46</v>
      </c>
      <c r="H16" s="10" t="s">
        <v>35</v>
      </c>
    </row>
    <row r="17" customFormat="false" ht="23.25" hidden="false" customHeight="true" outlineLevel="0" collapsed="false">
      <c r="A17" s="6" t="s">
        <v>49</v>
      </c>
      <c r="B17" s="6" t="s">
        <v>50</v>
      </c>
      <c r="C17" s="7" t="s">
        <v>19</v>
      </c>
      <c r="D17" s="8" t="n">
        <v>4928</v>
      </c>
      <c r="E17" s="9" t="s">
        <v>20</v>
      </c>
      <c r="F17" s="9" t="n">
        <v>4928</v>
      </c>
      <c r="G17" s="6" t="s">
        <v>51</v>
      </c>
      <c r="H17" s="7" t="s">
        <v>16</v>
      </c>
    </row>
    <row r="18" customFormat="false" ht="23.25" hidden="false" customHeight="true" outlineLevel="0" collapsed="false">
      <c r="A18" s="6" t="s">
        <v>52</v>
      </c>
      <c r="B18" s="6" t="s">
        <v>53</v>
      </c>
      <c r="C18" s="7" t="s">
        <v>14</v>
      </c>
      <c r="D18" s="8" t="n">
        <v>280480</v>
      </c>
      <c r="E18" s="8" t="n">
        <v>44352</v>
      </c>
      <c r="F18" s="8" t="n">
        <v>236128</v>
      </c>
      <c r="G18" s="6" t="s">
        <v>54</v>
      </c>
      <c r="H18" s="10" t="s">
        <v>35</v>
      </c>
    </row>
    <row r="19" customFormat="false" ht="15" hidden="false" customHeight="true" outlineLevel="0" collapsed="false">
      <c r="A19" s="6" t="s">
        <v>55</v>
      </c>
      <c r="B19" s="6" t="s">
        <v>56</v>
      </c>
      <c r="C19" s="7" t="s">
        <v>19</v>
      </c>
      <c r="D19" s="9" t="n">
        <v>13440</v>
      </c>
      <c r="E19" s="9" t="s">
        <v>20</v>
      </c>
      <c r="F19" s="9" t="n">
        <v>13440</v>
      </c>
      <c r="G19" s="6" t="s">
        <v>54</v>
      </c>
      <c r="H19" s="10" t="s">
        <v>35</v>
      </c>
    </row>
    <row r="20" customFormat="false" ht="15" hidden="false" customHeight="true" outlineLevel="0" collapsed="false">
      <c r="A20" s="6" t="s">
        <v>57</v>
      </c>
      <c r="B20" s="6" t="s">
        <v>58</v>
      </c>
      <c r="C20" s="7" t="s">
        <v>19</v>
      </c>
      <c r="D20" s="9" t="n">
        <v>15176</v>
      </c>
      <c r="E20" s="9" t="s">
        <v>20</v>
      </c>
      <c r="F20" s="9" t="n">
        <v>15176</v>
      </c>
      <c r="G20" s="6" t="s">
        <v>54</v>
      </c>
      <c r="H20" s="10" t="s">
        <v>35</v>
      </c>
    </row>
    <row r="21" customFormat="false" ht="15" hidden="false" customHeight="true" outlineLevel="0" collapsed="false">
      <c r="A21" s="1" t="s">
        <v>59</v>
      </c>
      <c r="B21" s="1" t="s">
        <v>60</v>
      </c>
      <c r="C21" s="1" t="s">
        <v>19</v>
      </c>
      <c r="D21" s="1" t="s">
        <v>43</v>
      </c>
      <c r="E21" s="1" t="s">
        <v>43</v>
      </c>
      <c r="F21" s="1" t="s">
        <v>43</v>
      </c>
      <c r="G21" s="1" t="s">
        <v>54</v>
      </c>
      <c r="H21" s="1" t="s">
        <v>35</v>
      </c>
    </row>
    <row r="22" customFormat="false" ht="15" hidden="false" customHeight="true" outlineLevel="0" collapsed="false">
      <c r="A22" s="1" t="s">
        <v>61</v>
      </c>
      <c r="B22" s="1" t="s">
        <v>62</v>
      </c>
      <c r="C22" s="1" t="s">
        <v>27</v>
      </c>
      <c r="D22" s="1" t="s">
        <v>43</v>
      </c>
      <c r="E22" s="1" t="s">
        <v>43</v>
      </c>
      <c r="F22" s="1" t="s">
        <v>43</v>
      </c>
      <c r="G22" s="1" t="s">
        <v>63</v>
      </c>
      <c r="H22" s="1" t="s">
        <v>35</v>
      </c>
    </row>
    <row r="23" customFormat="false" ht="15" hidden="false" customHeight="true" outlineLevel="0" collapsed="false"/>
    <row r="24" customFormat="false" ht="15" hidden="false" customHeight="true" outlineLevel="0" collapsed="false">
      <c r="A24" s="11" t="s">
        <v>64</v>
      </c>
      <c r="D24" s="1" t="n">
        <f aca="false">SUMIF($H$6:$H$22,"tak",D6:D22)</f>
        <v>798800</v>
      </c>
      <c r="E24" s="1" t="n">
        <f aca="false">SUMIF($H$6:$H$22,"tak",E6:E22)</f>
        <v>195552</v>
      </c>
      <c r="F24" s="1" t="n">
        <f aca="false">SUMIF($H$6:$H$22,"tak",F6:F22)</f>
        <v>603248</v>
      </c>
    </row>
    <row r="25" customFormat="false" ht="15" hidden="false" customHeight="true" outlineLevel="0" collapsed="false">
      <c r="A25" s="12" t="s">
        <v>65</v>
      </c>
      <c r="D25" s="13" t="n">
        <f aca="false">SUM(D6:D22)</f>
        <v>1947377.76</v>
      </c>
      <c r="E25" s="13" t="n">
        <f aca="false">SUM(E6:E22)</f>
        <v>546174.94</v>
      </c>
      <c r="F25" s="13" t="n">
        <f aca="false">SUM(F6:F22)</f>
        <v>1401202.82</v>
      </c>
    </row>
    <row r="26" customFormat="false" ht="15" hidden="false" customHeight="true" outlineLevel="0" collapsed="false">
      <c r="A26" s="14"/>
      <c r="B26" s="14"/>
      <c r="C26" s="14"/>
      <c r="D26" s="14"/>
      <c r="E26" s="14"/>
      <c r="F26" s="14"/>
      <c r="G26" s="14"/>
      <c r="H26" s="14"/>
    </row>
    <row r="27" customFormat="false" ht="15" hidden="false" customHeight="true" outlineLevel="0" collapsed="false">
      <c r="A27" s="15" t="s">
        <v>66</v>
      </c>
      <c r="B27" s="15"/>
      <c r="C27" s="15"/>
      <c r="D27" s="15"/>
      <c r="E27" s="15"/>
      <c r="F27" s="15"/>
      <c r="G27" s="15"/>
      <c r="H27" s="15"/>
    </row>
    <row r="28" customFormat="false" ht="15" hidden="false" customHeight="true" outlineLevel="0" collapsed="false">
      <c r="A28" s="14"/>
      <c r="B28" s="14"/>
      <c r="C28" s="14"/>
      <c r="D28" s="14"/>
      <c r="E28" s="14"/>
      <c r="F28" s="14"/>
      <c r="G28" s="14"/>
      <c r="H28" s="14"/>
    </row>
    <row r="29" customFormat="false" ht="15" hidden="false" customHeight="true" outlineLevel="0" collapsed="false">
      <c r="A29" s="16" t="s">
        <v>67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true" outlineLevel="0" collapsed="false">
      <c r="A30" s="17" t="s">
        <v>68</v>
      </c>
    </row>
    <row r="31" customFormat="false" ht="15" hidden="false" customHeight="true" outlineLevel="0" collapsed="false">
      <c r="A31" s="17" t="s">
        <v>69</v>
      </c>
    </row>
    <row r="32" customFormat="false" ht="15" hidden="false" customHeight="true" outlineLevel="0" collapsed="false">
      <c r="A32" s="17" t="s">
        <v>70</v>
      </c>
    </row>
  </sheetData>
  <mergeCells count="8">
    <mergeCell ref="A1:H1"/>
    <mergeCell ref="A2:H2"/>
    <mergeCell ref="A3:H3"/>
    <mergeCell ref="A4:H4"/>
    <mergeCell ref="A26:H26"/>
    <mergeCell ref="A27:H27"/>
    <mergeCell ref="A28:H28"/>
    <mergeCell ref="A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2026-10-31T13:34:56Z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