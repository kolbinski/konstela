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529516.8</v>
      </c>
      <c r="E6" s="25" t="n">
        <v>77156.8</v>
      </c>
      <c r="F6" s="25" t="n">
        <v>452360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Antologia, Archiwum i podcast</t>
        </is>
      </c>
      <c r="B8" s="26" t="inlineStr">
        <is>
          <t>e-book bezpłatny, audiobook, wydanie książkowe, Archiwum</t>
        </is>
      </c>
      <c r="C8" s="27" t="inlineStr">
        <is>
          <t>2027-2028</t>
        </is>
      </c>
      <c r="D8" s="25" t="n">
        <v>180362</v>
      </c>
      <c r="E8" s="25" t="n">
        <v>37752</v>
      </c>
      <c r="F8" s="25" t="n">
        <v>142610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Uruchomienie: fundacja, znak towarowy, strona i narzędzia oceny</t>
        </is>
      </c>
      <c r="B9" s="26" t="inlineStr">
        <is>
          <t>fundacja w KRS, regulamin po konsultacji prawnej, cztery narzędzia, przebudowana strona</t>
        </is>
      </c>
      <c r="C9" s="27" t="inlineStr">
        <is>
          <t>2027</t>
        </is>
      </c>
      <c r="D9" s="25" t="n">
        <v>164060</v>
      </c>
      <c r="E9" s="25" t="n">
        <v>164060</v>
      </c>
      <c r="F9" s="25" t="inlineStr">
        <is>
          <t>-</t>
        </is>
      </c>
      <c r="G9" s="26" t="inlineStr">
        <is>
          <t>mecenas założycielski</t>
        </is>
      </c>
      <c r="H9" s="27" t="inlineStr">
        <is>
          <t>nie</t>
        </is>
      </c>
    </row>
    <row r="10" ht="23.25" customHeight="1" s="17">
      <c r="A10" s="26" t="inlineStr">
        <is>
          <t>Pierwsza runda oceny: Akademia rozmów i akademia filmu</t>
        </is>
      </c>
      <c r="B10" s="26" t="inlineStr">
        <is>
          <t>przesiew zgłoszeń, dwa odczyty rozmowy i dwa obejrzenia filmu na zgłoszenie</t>
        </is>
      </c>
      <c r="C10" s="27" t="inlineStr">
        <is>
          <t>2027-2028</t>
        </is>
      </c>
      <c r="D10" s="25" t="n">
        <v>160160</v>
      </c>
      <c r="E10" s="25" t="n">
        <v>59360</v>
      </c>
      <c r="F10" s="25" t="n">
        <v>100800</v>
      </c>
      <c r="G10" s="26" t="inlineStr">
        <is>
          <t>sponsor akademii</t>
        </is>
      </c>
      <c r="H10" s="27" t="inlineStr">
        <is>
          <t>nie</t>
        </is>
      </c>
    </row>
    <row r="11" ht="15" customHeight="1" s="17">
      <c r="A11" s="26" t="inlineStr">
        <is>
          <t>Plebiscyt na piosenkę: nabór, ocena, nagrody, prowadzenie</t>
        </is>
      </c>
      <c r="B11" s="26" t="inlineStr">
        <is>
          <t>plebiscyt i jego laureaci</t>
        </is>
      </c>
      <c r="C11" s="27" t="inlineStr">
        <is>
          <t>2027-2028</t>
        </is>
      </c>
      <c r="D11" s="25" t="n">
        <v>107600</v>
      </c>
      <c r="E11" s="25" t="n">
        <v>28080</v>
      </c>
      <c r="F11" s="25" t="n">
        <v>79520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Nagrania studyjne dziesiątki finalistów</t>
        </is>
      </c>
      <c r="B12" s="26" t="inlineStr">
        <is>
          <t>możliwość realizacji nagrania studyjnego dla każdego z dziesięciu finalistów; liczba nagrań zależy od przyjęcia oferty, prawa przy autorach</t>
        </is>
      </c>
      <c r="C12" s="27" t="inlineStr">
        <is>
          <t>2028</t>
        </is>
      </c>
      <c r="D12" s="25" t="n">
        <v>75000</v>
      </c>
      <c r="E12" s="28" t="inlineStr">
        <is>
          <t>-</t>
        </is>
      </c>
      <c r="F12" s="25" t="n">
        <v>75000</v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Hymn z teledyskiem</t>
        </is>
      </c>
      <c r="B13" s="26" t="inlineStr">
        <is>
          <t>nagranie i premiera w czasie trwania naboru</t>
        </is>
      </c>
      <c r="C13" s="27" t="inlineStr">
        <is>
          <t>2027</t>
        </is>
      </c>
      <c r="D13" s="25" t="n">
        <v>80000</v>
      </c>
      <c r="E13" s="25" t="n">
        <v>80000</v>
      </c>
      <c r="F13" s="28" t="inlineStr">
        <is>
          <t>-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Realizacja części artystycznej gali</t>
        </is>
      </c>
      <c r="B14" s="26" t="inlineStr">
        <is>
          <t>koncert finałowy</t>
        </is>
      </c>
      <c r="C14" s="27" t="inlineStr">
        <is>
          <t>2028</t>
        </is>
      </c>
      <c r="D14" s="31" t="inlineStr">
        <is>
          <t>do wyceny</t>
        </is>
      </c>
      <c r="E14" s="31" t="inlineStr">
        <is>
          <t>do wyceny</t>
        </is>
      </c>
      <c r="F14" s="31" t="inlineStr">
        <is>
          <t>do wyceny</t>
        </is>
      </c>
      <c r="G14" s="26" t="inlineStr">
        <is>
          <t>sponsor plebiscytu</t>
        </is>
      </c>
      <c r="H14" s="29" t="inlineStr">
        <is>
          <t>tak</t>
        </is>
      </c>
    </row>
    <row r="15" ht="23.25" customHeight="1" s="17">
      <c r="A15" s="26" t="inlineStr">
        <is>
          <t>Plebiscyt na plakat: nabór, ocena, nagrody, oryginały</t>
        </is>
      </c>
      <c r="B15" s="26" t="inlineStr">
        <is>
          <t>plebiscyt, okładka antologii, Archiwum reprodukcji</t>
        </is>
      </c>
      <c r="C15" s="27" t="inlineStr">
        <is>
          <t>2027-2028</t>
        </is>
      </c>
      <c r="D15" s="25" t="n">
        <v>157552</v>
      </c>
      <c r="E15" s="25" t="n">
        <v>17248</v>
      </c>
      <c r="F15" s="25" t="n">
        <v>140304</v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przy gali</t>
        </is>
      </c>
      <c r="B16" s="26" t="inlineStr">
        <is>
          <t>dziesięć prac finałowych pokazanych publicznie</t>
        </is>
      </c>
      <c r="C16" s="27" t="inlineStr">
        <is>
          <t>2028</t>
        </is>
      </c>
      <c r="D16" s="31" t="inlineStr">
        <is>
          <t>do wyceny</t>
        </is>
      </c>
      <c r="E16" s="31" t="inlineStr">
        <is>
          <t>do wyceny</t>
        </is>
      </c>
      <c r="F16" s="31" t="inlineStr">
        <is>
          <t>do wyceny</t>
        </is>
      </c>
      <c r="G16" s="26" t="inlineStr">
        <is>
          <t>mecenas plebiscytu na plakat o sztucznej inteligencji</t>
        </is>
      </c>
      <c r="H16" s="29" t="inlineStr">
        <is>
          <t>tak</t>
        </is>
      </c>
    </row>
    <row r="17" ht="23.25" customHeight="1" s="17">
      <c r="A17" s="26" t="inlineStr">
        <is>
          <t>Wystawa w galerii sztuki z cichą licytacją, otwierana wernisażem</t>
        </is>
      </c>
      <c r="B17" s="26" t="inlineStr">
        <is>
          <t>te same prace pokazane po gali, jeżeli galeria zostanie pozyskana</t>
        </is>
      </c>
      <c r="C17" s="27" t="inlineStr">
        <is>
          <t>2028</t>
        </is>
      </c>
      <c r="D17" s="32" t="n">
        <v>4928</v>
      </c>
      <c r="E17" s="31" t="inlineStr">
        <is>
          <t>-</t>
        </is>
      </c>
      <c r="F17" s="31" t="n">
        <v>4928</v>
      </c>
      <c r="G17" s="26" t="inlineStr">
        <is>
          <t>partner galerii</t>
        </is>
      </c>
      <c r="H17" s="27" t="inlineStr">
        <is>
          <t>nie</t>
        </is>
      </c>
    </row>
    <row r="18" ht="23.25" customHeight="1" s="17">
      <c r="A18" s="26" t="inlineStr">
        <is>
          <t>Plebiscyt na film: nabór, ocena, nagrody, prowadzenie</t>
        </is>
      </c>
      <c r="B18" s="26" t="inlineStr">
        <is>
          <t>plebiscyt, dziesięć filmów finałowych, Projektornia i Archiwum</t>
        </is>
      </c>
      <c r="C18" s="27" t="inlineStr">
        <is>
          <t>2027-2028</t>
        </is>
      </c>
      <c r="D18" s="25" t="n">
        <v>264800</v>
      </c>
      <c r="E18" s="25" t="n">
        <v>32032</v>
      </c>
      <c r="F18" s="25" t="n">
        <v>232768</v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Zwiastuny piątki na gali, a przy pozyskaniu sali także pełne pokazy filmów finałowych</t>
        </is>
      </c>
      <c r="B19" s="26" t="inlineStr">
        <is>
          <t>zwiastuny pięciu filmów na gali, a przy pozyskaniu sali pełne pokazy dziesiątki</t>
        </is>
      </c>
      <c r="C19" s="27" t="inlineStr">
        <is>
          <t>2028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plebiscytu na film o sztucznej inteligencji</t>
        </is>
      </c>
      <c r="H19" s="29" t="inlineStr">
        <is>
          <t>tak</t>
        </is>
      </c>
    </row>
    <row r="20">
      <c r="A20" s="26" t="inlineStr">
        <is>
          <t>Podcast towarzyszący Nagrodzie</t>
        </is>
      </c>
      <c r="B20" s="26" t="inlineStr">
        <is>
          <t>bezpłatny materiał edukacyjny</t>
        </is>
      </c>
      <c r="C20" s="27" t="inlineStr">
        <is>
          <t>2027</t>
        </is>
      </c>
      <c r="D20" s="31" t="inlineStr">
        <is>
          <t>do wyceny</t>
        </is>
      </c>
      <c r="E20" s="31" t="inlineStr">
        <is>
          <t>do wyceny</t>
        </is>
      </c>
      <c r="F20" s="31" t="inlineStr">
        <is>
          <t>do wyceny</t>
        </is>
      </c>
      <c r="G20" s="26" t="inlineStr">
        <is>
          <t>sponsor Antologii</t>
        </is>
      </c>
      <c r="H20" s="29" t="inlineStr">
        <is>
          <t>tak</t>
        </is>
      </c>
    </row>
    <row r="21" ht="15" customHeight="1" s="17"/>
    <row r="22" ht="15" customHeight="1" s="17">
      <c r="A22" s="33" t="inlineStr">
        <is>
          <t>Razem, wiersze objęte prośbą ("tak")</t>
        </is>
      </c>
      <c r="D22" s="35">
        <f>SUMIFS(D6:D20,$H$6:$H$20,"tak")</f>
        <v/>
      </c>
      <c r="E22" s="35">
        <f>SUMIFS(E6:E20,$H$6:$H$20,"tak")</f>
        <v/>
      </c>
      <c r="F22" s="35">
        <f>SUMIFS(F6:F20,$H$6:$H$20,"tak")</f>
        <v/>
      </c>
    </row>
    <row r="23">
      <c r="A23" s="36" t="inlineStr">
        <is>
          <t>Razem, wszystkie wycenione pozycje</t>
        </is>
      </c>
      <c r="D23" s="38">
        <f>SUM(D6:D20)</f>
        <v/>
      </c>
      <c r="E23" s="38">
        <f>SUM(E6:E20)</f>
        <v/>
      </c>
      <c r="F23" s="38">
        <f>SUM(F6:F20)</f>
        <v/>
      </c>
    </row>
    <row r="24" ht="15" customHeight="1" s="17"/>
    <row r="25">
      <c r="A25" s="39" t="inlineStr">
        <is>
          <t>Pozycje opisane jako "do wyceny" nie wchodzą do sum powyżej; ich wycena powstanie przed złożeniem wniosku.</t>
        </is>
      </c>
    </row>
    <row r="26" ht="15" customHeight="1" s="17"/>
    <row r="27" ht="15" customHeight="1" s="17">
      <c r="A27" s="40" t="inlineStr">
        <is>
          <t>Co oznacza kolumna "W zakresie pytania do MKiDN"</t>
        </is>
      </c>
    </row>
    <row r="28" ht="15" customHeight="1" s="17">
      <c r="A28" s="39" t="inlineStr">
        <is>
          <t>Pismo nie jest wnioskiem o dotację i nie zawiera prośby o żadną z kwot wymienionych w tabeli.</t>
        </is>
      </c>
    </row>
    <row r="29" ht="15" customHeight="1" s="17">
      <c r="A29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30">
      <c r="A30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2026-10-30T16:11:43Z</dcterms:modified>
  <cp:revision>0</cp:revision>
</cp:coreProperties>
</file>