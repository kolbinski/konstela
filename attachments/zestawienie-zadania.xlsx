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estawienie zadan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<sst xmlns="http://schemas.openxmlformats.org/spreadsheetml/2006/main" count="91" uniqueCount="59">
  <si>
    <t xml:space="preserve">Nagroda Konstela - zestawienie zadania: co, w którym roku, z czego i o co pytam</t>
  </si>
  <si>
    <t xml:space="preserve">Załącznik do pisma do Ministerstwa Kultury i Dziedzictwa Narodowego. Kwoty netto, z arkusza budżetowego pierwszej edycji.</t>
  </si>
  <si>
    <t xml:space="preserve">Ostatnia kolumna mówi, czy pozycja mieści się w zakresie pytania do Ministerstwa, a nie czy wnoszę o jej sfinansowanie. Objaśnienie pod tabelą.</t>
  </si>
  <si>
    <t xml:space="preserve">Działanie</t>
  </si>
  <si>
    <t xml:space="preserve">Rezultat</t>
  </si>
  <si>
    <t xml:space="preserve">Rok kosztu</t>
  </si>
  <si>
    <t xml:space="preserve">Obecnie wyceniony koszt netto</t>
  </si>
  <si>
    <t xml:space="preserve">Planowane źródło</t>
  </si>
  <si>
    <t xml:space="preserve">W zakresie pytania do MKiDN</t>
  </si>
  <si>
    <t xml:space="preserve">Plebiscyt na rozmowę: nabór, ocena, prowadzenie</t>
  </si>
  <si>
    <t xml:space="preserve">laureat i dziesiątka finalistów</t>
  </si>
  <si>
    <t xml:space="preserve">2027-2028</t>
  </si>
  <si>
    <t xml:space="preserve">fundator puli nagród</t>
  </si>
  <si>
    <t xml:space="preserve">nie</t>
  </si>
  <si>
    <t xml:space="preserve">Gala rozstrzygnięcia czterech plebiscytów</t>
  </si>
  <si>
    <t xml:space="preserve">wydarzenie publiczne wraz z zapisem wideo</t>
  </si>
  <si>
    <t xml:space="preserve">2028</t>
  </si>
  <si>
    <t xml:space="preserve">sponsor gali</t>
  </si>
  <si>
    <t xml:space="preserve">Antologia i Archiwum, w tym krótki nakład na galę</t>
  </si>
  <si>
    <t xml:space="preserve">e-book bezpłatny, Archiwum, egzemplarze dla laureatów</t>
  </si>
  <si>
    <t xml:space="preserve">partner wydawniczy lub sponsor organizacyjny</t>
  </si>
  <si>
    <t xml:space="preserve">Pierwsza runda oceny: Akademia rozmów i akademia filmu</t>
  </si>
  <si>
    <t xml:space="preserve">przesiew zgłoszeń, dwa odczyty rozmowy i dwa obejrzenia filmu na zgłoszenie</t>
  </si>
  <si>
    <t xml:space="preserve">sponsor akademii</t>
  </si>
  <si>
    <t xml:space="preserve">Plebiscyt na piosenkę: nabór, ocena, nagrody, prowadzenie</t>
  </si>
  <si>
    <t xml:space="preserve">plebiscyt i jego laureaci</t>
  </si>
  <si>
    <t xml:space="preserve">sponsor plebiscytu</t>
  </si>
  <si>
    <t xml:space="preserve">tak</t>
  </si>
  <si>
    <t xml:space="preserve">Nagrania studyjne dziesiątki finalistów</t>
  </si>
  <si>
    <t xml:space="preserve">dziesięć nagrań, prawa przy autorach</t>
  </si>
  <si>
    <t xml:space="preserve">Hymn z teledyskiem</t>
  </si>
  <si>
    <t xml:space="preserve">nagranie i premiera w czasie trwania naboru</t>
  </si>
  <si>
    <t xml:space="preserve">2027</t>
  </si>
  <si>
    <t xml:space="preserve">Realizacja części artystycznej gali</t>
  </si>
  <si>
    <t xml:space="preserve">koncert finałowy</t>
  </si>
  <si>
    <t xml:space="preserve">do wyceny</t>
  </si>
  <si>
    <t xml:space="preserve">Plebiscyt na plakat: nabór, ocena, nagrody, oryginały</t>
  </si>
  <si>
    <t xml:space="preserve">plebiscyt, okładka antologii, Archiwum reprodukcji</t>
  </si>
  <si>
    <t xml:space="preserve">mecenas plebiscytu na plakat o sztucznej inteligencji</t>
  </si>
  <si>
    <t xml:space="preserve">Wystawa przy gali</t>
  </si>
  <si>
    <t xml:space="preserve">dziesięć prac finałowych pokazanych publicznie</t>
  </si>
  <si>
    <t xml:space="preserve">Wystawa w galerii sztuki, otwierana wernisażem</t>
  </si>
  <si>
    <t xml:space="preserve">te same prace pokazane po gali, jeżeli galeria zostanie pozyskana</t>
  </si>
  <si>
    <t xml:space="preserve">partner galerii</t>
  </si>
  <si>
    <t xml:space="preserve">Plebiscyt na film: nabór, ocena, nagrody, prowadzenie</t>
  </si>
  <si>
    <t xml:space="preserve">plebiscyt, dziesięć filmów finałowych, Projektornia i Archiwum</t>
  </si>
  <si>
    <t xml:space="preserve">sponsor plebiscytu na film o sztucznej inteligencji</t>
  </si>
  <si>
    <t xml:space="preserve">Zwiastuny piątki na gali, a przy pozyskaniu sali także pełne pokazy filmów finałowych</t>
  </si>
  <si>
    <t xml:space="preserve">zwiastuny pięciu filmów na gali, a przy pozyskaniu sali pełne pokazy dziesiątki</t>
  </si>
  <si>
    <t xml:space="preserve">Podcast towarzyszący Nagrodzie</t>
  </si>
  <si>
    <t xml:space="preserve">bezpłatny materiał edukacyjny</t>
  </si>
  <si>
    <t xml:space="preserve">sponsor Antologii</t>
  </si>
  <si>
    <t xml:space="preserve">Razem, wiersze objęte prośbą ("tak")</t>
  </si>
  <si>
    <t xml:space="preserve">Razem, wszystkie wycenione pozycje</t>
  </si>
  <si>
    <t xml:space="preserve">Pozycje opisane jako "do wyceny" nie wchodzą do sum powyżej; ich wycena powstanie przed złożeniem wniosku.</t>
  </si>
  <si>
    <t xml:space="preserve">Co oznacza kolumna "W zakresie pytania do MKiDN"</t>
  </si>
  <si>
    <t xml:space="preserve">Pismo nie jest wnioskiem o dotację i nie zawiera prośby o żadną z kwot wymienionych w tabeli.</t>
  </si>
  <si>
    <t xml:space="preserve">"tak" - pozycja należy do części artystycznej przedsięwzięcia, której dotyczy pytanie o właściwy Program Ministra i o drogę finansowania. Jest to pytanie o tryb, nie o środki.</t>
  </si>
  <si>
    <t xml:space="preserve">"nie" - pozycja jest poza tym pytaniem i ma być finansowana z innych źródeł. Wymieniam ją, aby było widoczne, że o tę samą pozycję nie zwracam się jednocześnie do dwóch źródeł.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</si>
</sst>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15]#,##0.00&quot; zł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B5B3E"/>
        <bgColor rgb="FF8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2C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B3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44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34"/>
    <col collapsed="false" customWidth="true" hidden="false" outlineLevel="0" max="6" min="6" style="1" width="16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true" outlineLevel="0" collapsed="false">
      <c r="A6" s="5" t="s">
        <v>9</v>
      </c>
      <c r="B6" s="5" t="s">
        <v>10</v>
      </c>
      <c r="C6" s="6" t="s">
        <v>11</v>
      </c>
      <c r="D6" s="7" t="n">
        <v>511996.8</v>
      </c>
      <c r="E6" s="5" t="s">
        <v>12</v>
      </c>
      <c r="F6" s="6" t="s">
        <v>13</v>
      </c>
    </row>
    <row r="7" customFormat="false" ht="15" hidden="false" customHeight="true" outlineLevel="0" collapsed="false">
      <c r="A7" s="5" t="s">
        <v>14</v>
      </c>
      <c r="B7" s="5" t="s">
        <v>15</v>
      </c>
      <c r="C7" s="6" t="s">
        <v>16</v>
      </c>
      <c r="D7" s="7" t="n">
        <v>35168</v>
      </c>
      <c r="E7" s="5" t="s">
        <v>17</v>
      </c>
      <c r="F7" s="6" t="s">
        <v>13</v>
      </c>
    </row>
    <row r="8" customFormat="false" ht="23.25" hidden="false" customHeight="true" outlineLevel="0" collapsed="false">
      <c r="A8" s="5" t="s">
        <v>18</v>
      </c>
      <c r="B8" s="5" t="s">
        <v>19</v>
      </c>
      <c r="C8" s="6" t="s">
        <v>11</v>
      </c>
      <c r="D8" s="7" t="n">
        <v>292422</v>
      </c>
      <c r="E8" s="5" t="s">
        <v>20</v>
      </c>
      <c r="F8" s="6" t="s">
        <v>13</v>
      </c>
    </row>
    <row r="9" customFormat="false" ht="23.25" hidden="false" customHeight="true" outlineLevel="0" collapsed="false">
      <c r="A9" s="5" t="s">
        <v>21</v>
      </c>
      <c r="B9" s="5" t="s">
        <v>22</v>
      </c>
      <c r="C9" s="6" t="s">
        <v>11</v>
      </c>
      <c r="D9" s="7" t="n">
        <v>160160</v>
      </c>
      <c r="E9" s="5" t="s">
        <v>23</v>
      </c>
      <c r="F9" s="6" t="s">
        <v>13</v>
      </c>
    </row>
    <row r="10" customFormat="false" ht="23.25" hidden="false" customHeight="true" outlineLevel="0" collapsed="false">
      <c r="A10" s="5" t="s">
        <v>24</v>
      </c>
      <c r="B10" s="5" t="s">
        <v>25</v>
      </c>
      <c r="C10" s="6" t="s">
        <v>11</v>
      </c>
      <c r="D10" s="7" t="n">
        <v>99600</v>
      </c>
      <c r="E10" s="5" t="s">
        <v>26</v>
      </c>
      <c r="F10" s="8" t="s">
        <v>27</v>
      </c>
    </row>
    <row r="11" customFormat="false" ht="15" hidden="false" customHeight="true" outlineLevel="0" collapsed="false">
      <c r="A11" s="5" t="s">
        <v>28</v>
      </c>
      <c r="B11" s="5" t="s">
        <v>29</v>
      </c>
      <c r="C11" s="6" t="s">
        <v>16</v>
      </c>
      <c r="D11" s="7" t="n">
        <v>75000</v>
      </c>
      <c r="E11" s="5" t="s">
        <v>26</v>
      </c>
      <c r="F11" s="8" t="s">
        <v>27</v>
      </c>
    </row>
    <row r="12" customFormat="false" ht="15" hidden="false" customHeight="true" outlineLevel="0" collapsed="false">
      <c r="A12" s="5" t="s">
        <v>30</v>
      </c>
      <c r="B12" s="5" t="s">
        <v>31</v>
      </c>
      <c r="C12" s="6" t="s">
        <v>32</v>
      </c>
      <c r="D12" s="7" t="n">
        <v>80000</v>
      </c>
      <c r="E12" s="5" t="s">
        <v>26</v>
      </c>
      <c r="F12" s="8" t="s">
        <v>27</v>
      </c>
    </row>
    <row r="13" customFormat="false" ht="15" hidden="false" customHeight="true" outlineLevel="0" collapsed="false">
      <c r="A13" s="5" t="s">
        <v>33</v>
      </c>
      <c r="B13" s="5" t="s">
        <v>34</v>
      </c>
      <c r="C13" s="6" t="s">
        <v>16</v>
      </c>
      <c r="D13" s="9" t="s">
        <v>35</v>
      </c>
      <c r="E13" s="5" t="s">
        <v>26</v>
      </c>
      <c r="F13" s="8" t="s">
        <v>27</v>
      </c>
    </row>
    <row r="14" customFormat="false" ht="23.25" hidden="false" customHeight="true" outlineLevel="0" collapsed="false">
      <c r="A14" s="5" t="s">
        <v>36</v>
      </c>
      <c r="B14" s="5" t="s">
        <v>37</v>
      </c>
      <c r="C14" s="6" t="s">
        <v>11</v>
      </c>
      <c r="D14" s="7" t="n">
        <v>154480</v>
      </c>
      <c r="E14" s="5" t="s">
        <v>38</v>
      </c>
      <c r="F14" s="8" t="s">
        <v>27</v>
      </c>
    </row>
    <row r="15" customFormat="false" ht="23.25" hidden="false" customHeight="true" outlineLevel="0" collapsed="false">
      <c r="A15" s="5" t="s">
        <v>39</v>
      </c>
      <c r="B15" s="5" t="s">
        <v>40</v>
      </c>
      <c r="C15" s="6" t="s">
        <v>16</v>
      </c>
      <c r="D15" s="9" t="s">
        <v>35</v>
      </c>
      <c r="E15" s="5" t="s">
        <v>38</v>
      </c>
      <c r="F15" s="8" t="s">
        <v>27</v>
      </c>
    </row>
    <row r="16" customFormat="false" ht="23.25" hidden="false" customHeight="true" outlineLevel="0" collapsed="false">
      <c r="A16" s="5" t="s">
        <v>41</v>
      </c>
      <c r="B16" s="5" t="s">
        <v>42</v>
      </c>
      <c r="C16" s="6" t="s">
        <v>16</v>
      </c>
      <c r="D16" s="9" t="s">
        <v>35</v>
      </c>
      <c r="E16" s="5" t="s">
        <v>43</v>
      </c>
      <c r="F16" s="6" t="s">
        <v>13</v>
      </c>
    </row>
    <row r="17" customFormat="false" ht="23.25" hidden="false" customHeight="true" outlineLevel="0" collapsed="false">
      <c r="A17" s="5" t="s">
        <v>44</v>
      </c>
      <c r="B17" s="5" t="s">
        <v>45</v>
      </c>
      <c r="C17" s="6" t="s">
        <v>11</v>
      </c>
      <c r="D17" s="7" t="n">
        <v>256800</v>
      </c>
      <c r="E17" s="5" t="s">
        <v>46</v>
      </c>
      <c r="F17" s="8" t="s">
        <v>27</v>
      </c>
    </row>
    <row r="18" customFormat="false" ht="23.25" hidden="false" customHeight="true" outlineLevel="0" collapsed="false">
      <c r="A18" s="5" t="s">
        <v>47</v>
      </c>
      <c r="B18" s="5" t="s">
        <v>48</v>
      </c>
      <c r="C18" s="6" t="s">
        <v>16</v>
      </c>
      <c r="D18" s="9" t="s">
        <v>35</v>
      </c>
      <c r="E18" s="5" t="s">
        <v>46</v>
      </c>
      <c r="F18" s="8" t="s">
        <v>27</v>
      </c>
    </row>
    <row r="19" customFormat="false" ht="15" hidden="false" customHeight="true" outlineLevel="0" collapsed="false">
      <c r="A19" s="5" t="s">
        <v>49</v>
      </c>
      <c r="B19" s="5" t="s">
        <v>50</v>
      </c>
      <c r="C19" s="6" t="s">
        <v>32</v>
      </c>
      <c r="D19" s="9" t="s">
        <v>35</v>
      </c>
      <c r="E19" s="5" t="s">
        <v>51</v>
      </c>
      <c r="F19" s="6" t="s">
        <v>13</v>
      </c>
    </row>
    <row r="21" customFormat="false" ht="15" hidden="false" customHeight="true" outlineLevel="0" collapsed="false">
      <c r="A21" s="10" t="s">
        <v>52</v>
      </c>
      <c r="D21" s="11" t="n">
        <f aca="false">SUMIFS(D6:D19,F6:F19,"tak")</f>
        <v>665880</v>
      </c>
    </row>
    <row r="22" customFormat="false" ht="15" hidden="false" customHeight="true" outlineLevel="0" collapsed="false">
      <c r="A22" s="12" t="s">
        <v>53</v>
      </c>
      <c r="D22" s="13" t="n">
        <f aca="false">SUM(D6:D19)</f>
        <v>1665626.8</v>
      </c>
    </row>
    <row r="24" customFormat="false" ht="15" hidden="false" customHeight="true" outlineLevel="0" collapsed="false">
      <c r="A24" s="14" t="s">
        <v>54</v>
      </c>
      <c r="B24" s="14"/>
      <c r="C24" s="14"/>
      <c r="D24" s="14"/>
      <c r="E24" s="14"/>
      <c r="F24" s="14"/>
    </row>
    <row r="26" customFormat="false" ht="15" hidden="false" customHeight="true" outlineLevel="0" collapsed="false">
      <c r="A26" s="15" t="s">
        <v>55</v>
      </c>
      <c r="B26" s="15"/>
      <c r="C26" s="15"/>
      <c r="D26" s="15"/>
      <c r="E26" s="15"/>
      <c r="F26" s="15"/>
    </row>
    <row r="27" customFormat="false" ht="15" hidden="false" customHeight="true" outlineLevel="0" collapsed="false">
      <c r="A27" s="14" t="s">
        <v>56</v>
      </c>
      <c r="B27" s="14"/>
      <c r="C27" s="14"/>
      <c r="D27" s="14"/>
      <c r="E27" s="14"/>
      <c r="F27" s="14"/>
    </row>
    <row r="28" customFormat="false" ht="15" hidden="false" customHeight="true" outlineLevel="0" collapsed="false">
      <c r="A28" s="14" t="s">
        <v>57</v>
      </c>
      <c r="B28" s="14"/>
      <c r="C28" s="14"/>
      <c r="D28" s="14"/>
      <c r="E28" s="14"/>
      <c r="F28" s="14"/>
    </row>
    <row r="29" customFormat="false" ht="15" hidden="false" customHeight="true" outlineLevel="0" collapsed="false">
      <c r="A29" s="14" t="s">
        <v>58</v>
      </c>
      <c r="B29" s="14"/>
      <c r="C29" s="14"/>
      <c r="D29" s="14"/>
      <c r="E29" s="14"/>
      <c r="F29" s="14"/>
    </row>
  </sheetData>
  <mergeCells count="8">
    <mergeCell ref="A1:F1"/>
    <mergeCell ref="A2:F2"/>
    <mergeCell ref="A3:F3"/>
    <mergeCell ref="A24:F24"/>
    <mergeCell ref="A26:F26"/>
    <mergeCell ref="A27:F27"/>
    <mergeCell ref="A28:F28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2026-10-29T13:26:40Z</dcterms:created>
  <dc:creator>openpyxl</dc:creator>
  <dc:description/>
  <dc:language>en-US</dc:language>
  <cp:lastModifiedBy/>
  <dcterms:modified xsi:type="dcterms:W3CDTF">2026-10-29T14:10:39Z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