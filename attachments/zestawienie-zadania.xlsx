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Zestawienie zadania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[$-415]#,##0.00&quot; zł&quot;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sz val="9"/>
    </font>
    <font>
      <sz val="9"/>
    </font>
  </fonts>
  <fills count="3">
    <fill>
      <patternFill/>
    </fill>
    <fill>
      <patternFill patternType="gray125"/>
    </fill>
    <fill>
      <patternFill patternType="solid">
        <fgColor rgb="FF6B5B3E"/>
        <bgColor rgb="FF8080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2C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164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164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right" vertical="bottom"/>
    </xf>
    <xf numFmtId="0" fontId="7" fillId="0" borderId="1" applyAlignment="1" pivotButton="0" quotePrefix="0" xfId="0">
      <alignment horizontal="right" vertical="bottom"/>
    </xf>
    <xf numFmtId="164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2C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5B3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16" min="1" max="1"/>
    <col width="44" customWidth="1" style="16" min="2" max="2"/>
    <col width="12" customWidth="1" style="16" min="3" max="3"/>
    <col width="22" customWidth="1" style="16" min="4" max="4"/>
    <col width="16" customWidth="1" style="16" min="5" max="5"/>
    <col width="16" customWidth="1" style="16" min="6" max="6"/>
    <col width="34" customWidth="1" style="17" min="7" max="7"/>
    <col width="16" customWidth="1" style="17" min="8" max="8"/>
  </cols>
  <sheetData>
    <row r="1" ht="15.75" customHeight="1" s="17">
      <c r="A1" s="18" t="inlineStr">
        <is>
          <t>Nagroda Konstela - zestawienie zadania: co, w którym roku, z czego i o co pytam</t>
        </is>
      </c>
    </row>
    <row r="2" ht="15" customHeight="1" s="17">
      <c r="A2" s="19" t="inlineStr">
        <is>
          <t>Załącznik do pisma do Ministerstwa Kultury i Dziedzictwa Narodowego. Kwoty netto, z arkusza budżetowego pierwszej edycji dostępnego pod adresem https://konstela.org/arkusz/budzet-edycji-pierwszej. Sumy przeliczają się same.</t>
        </is>
      </c>
    </row>
    <row r="3" ht="15" customHeight="1" s="17">
      <c r="A3" s="19" t="inlineStr">
        <is>
          <t>Ostatnia kolumna mówi, czy pozycja mieści się w zakresie pytania do Ministerstwa, a nie czy wnoszę o jej sfinansowanie. Objaśnienie pod tabelą.</t>
        </is>
      </c>
    </row>
    <row r="4">
      <c r="A4" s="41" t="inlineStr">
        <is>
          <t>Podział na lata: do 2027 roku przypisane są działania prowadzone w czasie naboru, do 2028 roku ocena jury, nagrody, produkcja antologii, gala i wystawy. Rezerwa i marża dzielą się proporcjonalnie do kosztów danego roku. Przypisanie roku do każdej pojedynczej pozycji pokazuje arkusz budżetowy.</t>
        </is>
      </c>
    </row>
    <row r="5" ht="30" customHeight="1" s="17">
      <c r="A5" s="21" t="inlineStr">
        <is>
          <t>Działanie</t>
        </is>
      </c>
      <c r="B5" s="21" t="inlineStr">
        <is>
          <t>Rezultat</t>
        </is>
      </c>
      <c r="C5" s="21" t="inlineStr">
        <is>
          <t>Rok kosztu</t>
        </is>
      </c>
      <c r="D5" s="21" t="inlineStr">
        <is>
          <t>Obecnie wyceniony koszt netto</t>
        </is>
      </c>
      <c r="E5" s="21" t="inlineStr">
        <is>
          <t>Koszt 2027</t>
        </is>
      </c>
      <c r="F5" s="21" t="inlineStr">
        <is>
          <t>Koszt 2028</t>
        </is>
      </c>
      <c r="G5" s="21" t="inlineStr">
        <is>
          <t>Planowane źródło</t>
        </is>
      </c>
      <c r="H5" s="21" t="inlineStr">
        <is>
          <t>W zakresie pytania do MKiDN</t>
        </is>
      </c>
    </row>
    <row r="6" ht="15" customHeight="1" s="17">
      <c r="A6" s="26" t="inlineStr">
        <is>
          <t>Plebiscyt na rozmowę: nabór, ocena, prowadzenie</t>
        </is>
      </c>
      <c r="B6" s="26" t="inlineStr">
        <is>
          <t>laureat i dziesiątka finalistów</t>
        </is>
      </c>
      <c r="C6" s="27" t="inlineStr">
        <is>
          <t>2027-2028</t>
        </is>
      </c>
      <c r="D6" s="25" t="n">
        <v>523196.8</v>
      </c>
      <c r="E6" s="25" t="n">
        <v>77156.8</v>
      </c>
      <c r="F6" s="25" t="n">
        <v>446040</v>
      </c>
      <c r="G6" s="26" t="inlineStr">
        <is>
          <t>fundator puli nagród</t>
        </is>
      </c>
      <c r="H6" s="27" t="inlineStr">
        <is>
          <t>nie</t>
        </is>
      </c>
    </row>
    <row r="7" ht="15" customHeight="1" s="17">
      <c r="A7" s="26" t="inlineStr">
        <is>
          <t>Gala rozstrzygnięcia czterech plebiscytów</t>
        </is>
      </c>
      <c r="B7" s="26" t="inlineStr">
        <is>
          <t>wydarzenie publiczne wraz z zapisem wideo</t>
        </is>
      </c>
      <c r="C7" s="27" t="inlineStr">
        <is>
          <t>2028</t>
        </is>
      </c>
      <c r="D7" s="25" t="n">
        <v>35168</v>
      </c>
      <c r="E7" s="28" t="inlineStr">
        <is>
          <t>-</t>
        </is>
      </c>
      <c r="F7" s="25" t="n">
        <v>35168</v>
      </c>
      <c r="G7" s="26" t="inlineStr">
        <is>
          <t>sponsor gali</t>
        </is>
      </c>
      <c r="H7" s="27" t="inlineStr">
        <is>
          <t>nie</t>
        </is>
      </c>
    </row>
    <row r="8" ht="23.25" customHeight="1" s="17">
      <c r="A8" s="26" t="inlineStr">
        <is>
          <t>Antologia i Archiwum, w tym krótki nakład na galę</t>
        </is>
      </c>
      <c r="B8" s="26" t="inlineStr">
        <is>
          <t>e-book bezpłatny, Archiwum, egzemplarze dla laureatów</t>
        </is>
      </c>
      <c r="C8" s="27" t="inlineStr">
        <is>
          <t>2027-2028</t>
        </is>
      </c>
      <c r="D8" s="25" t="n">
        <v>292422</v>
      </c>
      <c r="E8" s="25" t="n">
        <v>201812</v>
      </c>
      <c r="F8" s="25" t="n">
        <v>90610</v>
      </c>
      <c r="G8" s="26" t="inlineStr">
        <is>
          <t>partner wydawniczy lub sponsor organizacyjny</t>
        </is>
      </c>
      <c r="H8" s="27" t="inlineStr">
        <is>
          <t>nie</t>
        </is>
      </c>
    </row>
    <row r="9" ht="23.25" customHeight="1" s="17">
      <c r="A9" s="26" t="inlineStr">
        <is>
          <t>Pierwsza runda oceny: Akademia rozmów i akademia filmu</t>
        </is>
      </c>
      <c r="B9" s="26" t="inlineStr">
        <is>
          <t>przesiew zgłoszeń, dwa odczyty rozmowy i dwa obejrzenia filmu na zgłoszenie</t>
        </is>
      </c>
      <c r="C9" s="27" t="inlineStr">
        <is>
          <t>2027-2028</t>
        </is>
      </c>
      <c r="D9" s="25" t="n">
        <v>160160</v>
      </c>
      <c r="E9" s="25" t="n">
        <v>59360</v>
      </c>
      <c r="F9" s="25" t="n">
        <v>100800</v>
      </c>
      <c r="G9" s="26" t="inlineStr">
        <is>
          <t>sponsor akademii</t>
        </is>
      </c>
      <c r="H9" s="27" t="inlineStr">
        <is>
          <t>nie</t>
        </is>
      </c>
    </row>
    <row r="10" ht="23.25" customHeight="1" s="17">
      <c r="A10" s="26" t="inlineStr">
        <is>
          <t>Plebiscyt na piosenkę: nabór, ocena, nagrody, prowadzenie</t>
        </is>
      </c>
      <c r="B10" s="26" t="inlineStr">
        <is>
          <t>plebiscyt i jego laureaci</t>
        </is>
      </c>
      <c r="C10" s="27" t="inlineStr">
        <is>
          <t>2027-2028</t>
        </is>
      </c>
      <c r="D10" s="25" t="n">
        <v>99600</v>
      </c>
      <c r="E10" s="25" t="n">
        <v>28080</v>
      </c>
      <c r="F10" s="25" t="n">
        <v>71520</v>
      </c>
      <c r="G10" s="26" t="inlineStr">
        <is>
          <t>sponsor plebiscytu</t>
        </is>
      </c>
      <c r="H10" s="29" t="inlineStr">
        <is>
          <t>tak</t>
        </is>
      </c>
    </row>
    <row r="11" ht="15" customHeight="1" s="17">
      <c r="A11" s="26" t="inlineStr">
        <is>
          <t>Nagrania studyjne dziesiątki finalistów</t>
        </is>
      </c>
      <c r="B11" s="26" t="inlineStr">
        <is>
          <t>możliwość realizacji nagrania studyjnego dla każdego z dziesięciu finalistów; liczba nagrań zależy od przyjęcia oferty, prawa przy autorach</t>
        </is>
      </c>
      <c r="C11" s="27" t="inlineStr">
        <is>
          <t>2028</t>
        </is>
      </c>
      <c r="D11" s="25" t="n">
        <v>75000</v>
      </c>
      <c r="E11" s="28" t="inlineStr">
        <is>
          <t>-</t>
        </is>
      </c>
      <c r="F11" s="25" t="n">
        <v>75000</v>
      </c>
      <c r="G11" s="26" t="inlineStr">
        <is>
          <t>sponsor plebiscytu</t>
        </is>
      </c>
      <c r="H11" s="29" t="inlineStr">
        <is>
          <t>tak</t>
        </is>
      </c>
    </row>
    <row r="12" ht="15" customHeight="1" s="17">
      <c r="A12" s="26" t="inlineStr">
        <is>
          <t>Hymn z teledyskiem</t>
        </is>
      </c>
      <c r="B12" s="26" t="inlineStr">
        <is>
          <t>nagranie i premiera w czasie trwania naboru</t>
        </is>
      </c>
      <c r="C12" s="27" t="inlineStr">
        <is>
          <t>2027</t>
        </is>
      </c>
      <c r="D12" s="25" t="n">
        <v>80000</v>
      </c>
      <c r="E12" s="25" t="n">
        <v>80000</v>
      </c>
      <c r="F12" s="28" t="inlineStr">
        <is>
          <t>-</t>
        </is>
      </c>
      <c r="G12" s="26" t="inlineStr">
        <is>
          <t>sponsor plebiscytu</t>
        </is>
      </c>
      <c r="H12" s="29" t="inlineStr">
        <is>
          <t>tak</t>
        </is>
      </c>
    </row>
    <row r="13" ht="15" customHeight="1" s="17">
      <c r="A13" s="26" t="inlineStr">
        <is>
          <t>Realizacja części artystycznej gali</t>
        </is>
      </c>
      <c r="B13" s="26" t="inlineStr">
        <is>
          <t>koncert finałowy</t>
        </is>
      </c>
      <c r="C13" s="27" t="inlineStr">
        <is>
          <t>2028</t>
        </is>
      </c>
      <c r="D13" s="31" t="inlineStr">
        <is>
          <t>do wyceny</t>
        </is>
      </c>
      <c r="E13" s="31" t="inlineStr">
        <is>
          <t>do wyceny</t>
        </is>
      </c>
      <c r="F13" s="31" t="inlineStr">
        <is>
          <t>do wyceny</t>
        </is>
      </c>
      <c r="G13" s="26" t="inlineStr">
        <is>
          <t>sponsor plebiscytu</t>
        </is>
      </c>
      <c r="H13" s="29" t="inlineStr">
        <is>
          <t>tak</t>
        </is>
      </c>
    </row>
    <row r="14" ht="23.25" customHeight="1" s="17">
      <c r="A14" s="26" t="inlineStr">
        <is>
          <t>Plebiscyt na plakat: nabór, ocena, nagrody, oryginały</t>
        </is>
      </c>
      <c r="B14" s="26" t="inlineStr">
        <is>
          <t>plebiscyt, okładka antologii, Archiwum reprodukcji</t>
        </is>
      </c>
      <c r="C14" s="27" t="inlineStr">
        <is>
          <t>2027-2028</t>
        </is>
      </c>
      <c r="D14" s="25" t="n">
        <v>149552</v>
      </c>
      <c r="E14" s="25" t="n">
        <v>17248</v>
      </c>
      <c r="F14" s="25" t="n">
        <v>132304</v>
      </c>
      <c r="G14" s="26" t="inlineStr">
        <is>
          <t>mecenas plebiscytu na plakat o sztucznej inteligencji</t>
        </is>
      </c>
      <c r="H14" s="29" t="inlineStr">
        <is>
          <t>tak</t>
        </is>
      </c>
    </row>
    <row r="15" ht="23.25" customHeight="1" s="17">
      <c r="A15" s="26" t="inlineStr">
        <is>
          <t>Wystawa przy gali</t>
        </is>
      </c>
      <c r="B15" s="26" t="inlineStr">
        <is>
          <t>dziesięć prac finałowych pokazanych publicznie</t>
        </is>
      </c>
      <c r="C15" s="27" t="inlineStr">
        <is>
          <t>2028</t>
        </is>
      </c>
      <c r="D15" s="31" t="inlineStr">
        <is>
          <t>do wyceny</t>
        </is>
      </c>
      <c r="E15" s="31" t="inlineStr">
        <is>
          <t>do wyceny</t>
        </is>
      </c>
      <c r="F15" s="31" t="inlineStr">
        <is>
          <t>do wyceny</t>
        </is>
      </c>
      <c r="G15" s="26" t="inlineStr">
        <is>
          <t>mecenas plebiscytu na plakat o sztucznej inteligencji</t>
        </is>
      </c>
      <c r="H15" s="29" t="inlineStr">
        <is>
          <t>tak</t>
        </is>
      </c>
    </row>
    <row r="16" ht="23.25" customHeight="1" s="17">
      <c r="A16" s="26" t="inlineStr">
        <is>
          <t>Wystawa w galerii sztuki z cichą licytacją, otwierana wernisażem</t>
        </is>
      </c>
      <c r="B16" s="26" t="inlineStr">
        <is>
          <t>te same prace pokazane po gali, jeżeli galeria zostanie pozyskana</t>
        </is>
      </c>
      <c r="C16" s="27" t="inlineStr">
        <is>
          <t>2028</t>
        </is>
      </c>
      <c r="D16" s="32" t="n">
        <v>4928</v>
      </c>
      <c r="E16" s="31" t="inlineStr">
        <is>
          <t>-</t>
        </is>
      </c>
      <c r="F16" s="31" t="n">
        <v>4928</v>
      </c>
      <c r="G16" s="26" t="inlineStr">
        <is>
          <t>partner galerii</t>
        </is>
      </c>
      <c r="H16" s="27" t="inlineStr">
        <is>
          <t>nie</t>
        </is>
      </c>
    </row>
    <row r="17" ht="23.25" customHeight="1" s="17">
      <c r="A17" s="26" t="inlineStr">
        <is>
          <t>Plebiscyt na film: nabór, ocena, nagrody, prowadzenie</t>
        </is>
      </c>
      <c r="B17" s="26" t="inlineStr">
        <is>
          <t>plebiscyt, dziesięć filmów finałowych, Projektornia i Archiwum</t>
        </is>
      </c>
      <c r="C17" s="27" t="inlineStr">
        <is>
          <t>2027-2028</t>
        </is>
      </c>
      <c r="D17" s="25" t="n">
        <v>256800</v>
      </c>
      <c r="E17" s="25" t="n">
        <v>32032</v>
      </c>
      <c r="F17" s="25" t="n">
        <v>224768</v>
      </c>
      <c r="G17" s="26" t="inlineStr">
        <is>
          <t>sponsor plebiscytu na film o sztucznej inteligencji</t>
        </is>
      </c>
      <c r="H17" s="29" t="inlineStr">
        <is>
          <t>tak</t>
        </is>
      </c>
    </row>
    <row r="18" ht="23.25" customHeight="1" s="17">
      <c r="A18" s="26" t="inlineStr">
        <is>
          <t>Zwiastuny piątki na gali, a przy pozyskaniu sali także pełne pokazy filmów finałowych</t>
        </is>
      </c>
      <c r="B18" s="26" t="inlineStr">
        <is>
          <t>zwiastuny pięciu filmów na gali, a przy pozyskaniu sali pełne pokazy dziesiątki</t>
        </is>
      </c>
      <c r="C18" s="27" t="inlineStr">
        <is>
          <t>2028</t>
        </is>
      </c>
      <c r="D18" s="31" t="inlineStr">
        <is>
          <t>do wyceny</t>
        </is>
      </c>
      <c r="E18" s="31" t="inlineStr">
        <is>
          <t>do wyceny</t>
        </is>
      </c>
      <c r="F18" s="31" t="inlineStr">
        <is>
          <t>do wyceny</t>
        </is>
      </c>
      <c r="G18" s="26" t="inlineStr">
        <is>
          <t>sponsor plebiscytu na film o sztucznej inteligencji</t>
        </is>
      </c>
      <c r="H18" s="29" t="inlineStr">
        <is>
          <t>tak</t>
        </is>
      </c>
    </row>
    <row r="19" ht="15" customHeight="1" s="17">
      <c r="A19" s="26" t="inlineStr">
        <is>
          <t>Podcast towarzyszący Nagrodzie</t>
        </is>
      </c>
      <c r="B19" s="26" t="inlineStr">
        <is>
          <t>bezpłatny materiał edukacyjny</t>
        </is>
      </c>
      <c r="C19" s="27" t="inlineStr">
        <is>
          <t>2027</t>
        </is>
      </c>
      <c r="D19" s="31" t="inlineStr">
        <is>
          <t>do wyceny</t>
        </is>
      </c>
      <c r="E19" s="31" t="inlineStr">
        <is>
          <t>do wyceny</t>
        </is>
      </c>
      <c r="F19" s="31" t="inlineStr">
        <is>
          <t>do wyceny</t>
        </is>
      </c>
      <c r="G19" s="26" t="inlineStr">
        <is>
          <t>sponsor Antologii</t>
        </is>
      </c>
      <c r="H19" s="29" t="inlineStr">
        <is>
          <t>tak</t>
        </is>
      </c>
    </row>
    <row r="21" ht="15" customHeight="1" s="17">
      <c r="A21" s="33" t="inlineStr">
        <is>
          <t>Razem, wiersze objęte prośbą ("tak")</t>
        </is>
      </c>
      <c r="D21" s="35">
        <f>SUMIFS(D6:D19,$H$6:$H$19,"tak")</f>
        <v/>
      </c>
      <c r="E21" s="35">
        <f>SUMIFS(E6:E19,$H$6:$H$19,"tak")</f>
        <v/>
      </c>
      <c r="F21" s="35">
        <f>SUMIFS(F6:F19,$H$6:$H$19,"tak")</f>
        <v/>
      </c>
    </row>
    <row r="22" ht="15" customHeight="1" s="17">
      <c r="A22" s="36" t="inlineStr">
        <is>
          <t>Razem, wszystkie wycenione pozycje</t>
        </is>
      </c>
      <c r="D22" s="38">
        <f>SUM(D6:D19)</f>
        <v/>
      </c>
      <c r="E22" s="38">
        <f>SUM(E6:E19)</f>
        <v/>
      </c>
      <c r="F22" s="38">
        <f>SUM(F6:F19)</f>
        <v/>
      </c>
    </row>
    <row r="24" ht="15" customHeight="1" s="17">
      <c r="A24" s="39" t="inlineStr">
        <is>
          <t>Pozycje opisane jako "do wyceny" nie wchodzą do sum powyżej; ich wycena powstanie przed złożeniem wniosku.</t>
        </is>
      </c>
    </row>
    <row r="26" ht="15" customHeight="1" s="17">
      <c r="A26" s="40" t="inlineStr">
        <is>
          <t>Co oznacza kolumna "W zakresie pytania do MKiDN"</t>
        </is>
      </c>
    </row>
    <row r="27" ht="15" customHeight="1" s="17">
      <c r="A27" s="39" t="inlineStr">
        <is>
          <t>Pismo nie jest wnioskiem o dotację i nie zawiera prośby o żadną z kwot wymienionych w tabeli.</t>
        </is>
      </c>
    </row>
    <row r="28" ht="15" customHeight="1" s="17">
      <c r="A28" s="39" t="inlineStr">
        <is>
          <t>"tak" - pozycja należy do części artystycznej przedsięwzięcia, której dotyczy pytanie o właściwy Program Ministra i o drogę finansowania. Jest to pytanie o tryb, nie o środki.</t>
        </is>
      </c>
    </row>
    <row r="29" ht="15" customHeight="1" s="17">
      <c r="A29" s="39" t="inlineStr">
        <is>
          <t>"nie" - pozycja jest poza tym pytaniem i ma być finansowana z innych źródeł. Wymieniam ją, aby było widoczne, że o tę samą pozycję nie zwracam się jednocześnie do dwóch źródeł.</t>
        </is>
      </c>
    </row>
  </sheetData>
  <mergeCells count="9">
    <mergeCell ref="A4:H4"/>
    <mergeCell ref="A3:H3"/>
    <mergeCell ref="A26:H26"/>
    <mergeCell ref="A29:H29"/>
    <mergeCell ref="A24:H24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2026-10-29T13:26:40Z</dcterms:created>
  <dcterms:modified xmlns:dcterms="http://purl.org/dc/terms/" xmlns:xsi="http://www.w3.org/2001/XMLSchema-instance" xsi:type="dcterms:W3CDTF">2026-10-30T11:02:41Z</dcterms:modified>
  <cp:revision>0</cp:revision>
</cp:coreProperties>
</file>