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Uruchomienia" sheetId="4" state="visible" r:id="rId4"/>
    <sheet xmlns:r="http://schemas.openxmlformats.org/officeDocument/2006/relationships" name="Budżet Plebiscytu" sheetId="5" state="visible" r:id="rId5"/>
    <sheet xmlns:r="http://schemas.openxmlformats.org/officeDocument/2006/relationships" name="Budżet Plakatu" sheetId="6" state="visible" r:id="rId6"/>
    <sheet xmlns:r="http://schemas.openxmlformats.org/officeDocument/2006/relationships" name="Budżet Akademii" sheetId="7" state="visible" r:id="rId7"/>
    <sheet xmlns:r="http://schemas.openxmlformats.org/officeDocument/2006/relationships" name="Budżet Filmu" sheetId="8" state="visible" r:id="rId8"/>
    <sheet xmlns:r="http://schemas.openxmlformats.org/officeDocument/2006/relationships" name="Budżet Gali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Nagrody'!$D$38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Antologii'!$D$39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Plebiscytu'!$D$33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Plakatu'!$D$36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Filmu'!$D$35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0" t="inlineStr">
        <is>
          <t>Budżet Uruchomienia - fundacja, znak, strona i narzędzia</t>
        </is>
      </c>
      <c r="B13" s="47" t="inlineStr">
        <is>
          <t>Mecenas Założycielski</t>
        </is>
      </c>
      <c r="C13" s="53">
        <f>'Budżet Uruchomienia'!$D$28</f>
        <v/>
      </c>
    </row>
    <row r="14" ht="15" customHeight="1" s="45">
      <c r="A14" s="54" t="inlineStr">
        <is>
          <t>RAZEM</t>
        </is>
      </c>
      <c r="C14" s="55">
        <f>'Budżet Nagrody'!$D$38+'Budżet Gali'!$D$26+'Budżet Antologii'!$D$39+'Budżet Uruchomienia'!$D$28+'Budżet Plebiscytu'!$D$33+'Budżet Plakatu'!$D$36+'Budżet Akademii'!$D$33+'Budżet Filmu'!$D$35</f>
        <v/>
      </c>
      <c r="D14" s="47" t="n"/>
      <c r="E14" s="47" t="n"/>
      <c r="F14" s="47" t="n"/>
      <c r="G14" s="47" t="n"/>
      <c r="H14" s="47" t="n"/>
    </row>
    <row r="15" ht="15" customHeight="1" s="45">
      <c r="A15" s="49" t="inlineStr">
        <is>
          <t>LICZBY, KTÓRE USTAWIASZ</t>
        </is>
      </c>
      <c r="D15" s="47" t="n"/>
      <c r="E15" s="47" t="n"/>
      <c r="F15" s="47" t="n"/>
      <c r="G15" s="47" t="n"/>
      <c r="H15" s="47" t="n"/>
    </row>
    <row r="16" ht="15" customHeight="1" s="45">
      <c r="A16" s="48" t="inlineStr">
        <is>
          <t>Zmieniasz wyłącznie żółte pola poniżej. Wszystkie budżety przeliczą się same.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Stawka godzinowa organizatora (netto)</t>
        </is>
      </c>
      <c r="B17" s="56" t="n">
        <v>220</v>
      </c>
      <c r="C17" s="57" t="inlineStr">
        <is>
          <t>Podstawa wyceny Twojej pracy we wszystkich budżetach.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Liczba zgłoszeń do Nagrody</t>
        </is>
      </c>
      <c r="B18" s="56" t="n">
        <v>150</v>
      </c>
      <c r="C18" s="57" t="inlineStr">
        <is>
          <t>Wpływa na godziny oceny formalnej i korespondencji.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Nagroda główna (brutto)</t>
        </is>
      </c>
      <c r="B19" s="56" t="n">
        <v>300000</v>
      </c>
      <c r="C19" s="57" t="inlineStr">
        <is>
          <t>Największa pojedyncza pozycja całości.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Wyróżnienie dla finalisty (brutto)</t>
        </is>
      </c>
      <c r="B20" s="56" t="n">
        <v>3000</v>
      </c>
      <c r="C20" s="57" t="inlineStr">
        <is>
          <t>Siedem osób z dziesiątki antologii, poza podium.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Liczba wyróżnień</t>
        </is>
      </c>
      <c r="B21" s="56" t="n">
        <v>7</v>
      </c>
      <c r="C21" s="57" t="inlineStr">
        <is>
          <t>Dziesiątka minus laureat, drugie i trzecie miejsce.</t>
        </is>
      </c>
      <c r="D21" s="47" t="n"/>
      <c r="E21" s="47" t="n"/>
      <c r="F21" s="47" t="n"/>
      <c r="G21" s="47" t="n"/>
      <c r="H21" s="47" t="n"/>
    </row>
    <row r="22" ht="15" customHeight="1" s="45">
      <c r="A22" s="47" t="inlineStr">
        <is>
          <t>Nagroda za drugie miejsce (brutto)</t>
        </is>
      </c>
      <c r="B22" s="56" t="n">
        <v>40000</v>
      </c>
      <c r="C22" s="57" t="inlineStr">
        <is>
          <t>Druga rozmowa z werdyktu jury.</t>
        </is>
      </c>
    </row>
    <row r="23" ht="15" customHeight="1" s="45">
      <c r="A23" s="47" t="inlineStr">
        <is>
          <t>Nagroda za trzecie miejsce (brutto)</t>
        </is>
      </c>
      <c r="B23" s="56" t="n">
        <v>10000</v>
      </c>
      <c r="C23" s="57" t="inlineStr">
        <is>
          <t>Trzecia rozmowa z werdyktu jury.</t>
        </is>
      </c>
    </row>
    <row r="24" ht="15" customHeight="1" s="45">
      <c r="A24" s="47" t="inlineStr">
        <is>
          <t>Liczba zgłoszeń do plebiscytu</t>
        </is>
      </c>
      <c r="B24" s="56" t="n">
        <v>150</v>
      </c>
      <c r="C24" s="57" t="inlineStr">
        <is>
          <t>Wpływa na koszt kontroli zgłoszeń.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plebiscytu łącznie (brutto)</t>
        </is>
      </c>
      <c r="B25" s="56" t="n">
        <v>35000</v>
      </c>
      <c r="C25" s="57" t="inlineStr">
        <is>
          <t>20 tys. + 10 tys. + 5 tys. dla czołowej trójki.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Nagrody publiczności piosenki łącznie (brutto)</t>
        </is>
      </c>
      <c r="B26" s="56" t="n">
        <v>12000</v>
      </c>
      <c r="C26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6" s="47" t="n"/>
      <c r="E26" s="47" t="n"/>
      <c r="F26" s="47" t="n"/>
      <c r="G26" s="47" t="n"/>
      <c r="H26" s="47" t="n"/>
    </row>
    <row r="27" ht="15" customHeight="1" s="45">
      <c r="A27" s="47" t="inlineStr">
        <is>
          <t>Nagrody publiczności rozmowy łącznie (brutto)</t>
        </is>
      </c>
      <c r="B27" s="56" t="n">
        <v>12000</v>
      </c>
    </row>
    <row r="28" ht="15" customHeight="1" s="45">
      <c r="A28" s="47" t="inlineStr">
        <is>
          <t>Nagranie studyjne - koszt za utwór (netto)</t>
        </is>
      </c>
      <c r="B28" s="56" t="n">
        <v>7500</v>
      </c>
      <c r="C28" s="57" t="inlineStr">
        <is>
          <t>Środek widełek 5-10 tys. Do wyceny przez Michała Sołtana.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Liczba nagrań studyjnych</t>
        </is>
      </c>
      <c r="B29" s="56" t="n">
        <v>10</v>
      </c>
      <c r="C29" s="57" t="inlineStr">
        <is>
          <t>Dziesięciu finalistów; te nagrania trafiają na płytę.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Hymn z teledyskiem (netto)</t>
        </is>
      </c>
      <c r="B30" s="56" t="n">
        <v>80000</v>
      </c>
      <c r="C30" s="57" t="inlineStr">
        <is>
          <t>Środek widełek 60-100 tys. Górny koniec przy szerszym składzie.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Medal zwycięzcy i dyplomy piosenki (netto)</t>
        </is>
      </c>
      <c r="B31" s="56" t="n">
        <v>1200</v>
      </c>
      <c r="C31" s="57" t="inlineStr">
        <is>
          <t>Ten sam medal co w plebiscycie na rozmowę, cena jak w Budżecie Nagrody.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Rezerwa w Budżecie Nagrody</t>
        </is>
      </c>
      <c r="B32" s="58" t="n">
        <v>0.12</v>
      </c>
      <c r="C32" s="57" t="inlineStr">
        <is>
          <t>Narzut na nieprzewidziane.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Wynagrodzenie wykonawcy (od pracy własnej organizatora)</t>
        </is>
      </c>
      <c r="B33" s="58" t="n">
        <v>0.2</v>
      </c>
      <c r="C33" s="57" t="inlineStr">
        <is>
          <t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Rezerwa w Budżecie Plebiscytu</t>
        </is>
      </c>
      <c r="B34" s="58" t="n">
        <v>0.12</v>
      </c>
      <c r="C34" s="57" t="inlineStr">
        <is>
          <t>Narzut na nieprzewidziane.</t>
        </is>
      </c>
      <c r="D34" s="47" t="n"/>
      <c r="E34" s="47" t="n"/>
      <c r="F34" s="47" t="n"/>
      <c r="G34" s="47" t="n"/>
      <c r="H34" s="47" t="n"/>
    </row>
    <row r="35" ht="15" customHeight="1" s="45">
      <c r="A35" s="47" t="inlineStr">
        <is>
          <t>Stawka VAT</t>
        </is>
      </c>
      <c r="B35" s="58" t="n">
        <v>0.23</v>
      </c>
      <c r="C35" s="57" t="inlineStr">
        <is>
          <t>Dotyczy faktur wystawianych sponsorom.</t>
        </is>
      </c>
      <c r="D35" s="47" t="n"/>
      <c r="E35" s="47" t="n"/>
      <c r="F35" s="47" t="n"/>
      <c r="G35" s="47" t="n"/>
      <c r="H35" s="47" t="n"/>
    </row>
    <row r="36" ht="15" customHeight="1" s="45">
      <c r="A36" s="47" t="inlineStr">
        <is>
          <t>Podatek od nagród (ryczałt)</t>
        </is>
      </c>
      <c r="D36" s="47" t="n"/>
      <c r="E36" s="47" t="n"/>
      <c r="F36" s="47" t="n"/>
      <c r="G36" s="47" t="n"/>
      <c r="H36" s="47" t="n"/>
    </row>
    <row r="37" ht="15" customHeight="1" s="45">
      <c r="A37" s="47" t="n"/>
      <c r="D37" s="47" t="n"/>
      <c r="E37" s="47" t="n"/>
      <c r="F37" s="47" t="n"/>
      <c r="G37" s="47" t="n"/>
      <c r="H37" s="47" t="n"/>
    </row>
    <row r="38" ht="15" customHeight="1" s="45">
      <c r="A38" s="49" t="inlineStr">
        <is>
          <t>CZEGO JESZCZE NIE MA</t>
        </is>
      </c>
      <c r="D38" s="47" t="n"/>
      <c r="E38" s="47" t="n"/>
      <c r="F38" s="47" t="n"/>
      <c r="G38" s="47" t="n"/>
      <c r="H38" s="47" t="n"/>
    </row>
    <row r="39" ht="15" customHeight="1" s="45">
      <c r="A39" s="50" t="inlineStr">
        <is>
          <t>Honoraria jury we wszystkich plebiscytach - osobno za ocenę zgłoszeń i za etap przygotowania karty oceny</t>
        </is>
      </c>
      <c r="D39" s="47" t="n"/>
      <c r="E39" s="47" t="n"/>
      <c r="F39" s="47" t="n"/>
      <c r="G39" s="47" t="n"/>
      <c r="H39" s="47" t="n"/>
    </row>
    <row r="40" ht="15" customHeight="1" s="45">
      <c r="A40" s="50" t="inlineStr">
        <is>
          <t>Realizacja części artystycznej gali</t>
        </is>
      </c>
      <c r="D40" s="47" t="n"/>
      <c r="E40" s="47" t="n"/>
      <c r="F40" s="47" t="n"/>
      <c r="G40" s="47" t="n"/>
      <c r="H40" s="47" t="n"/>
    </row>
    <row r="41" ht="15" customHeight="1" s="45">
      <c r="A41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41" s="47" t="n"/>
      <c r="E41" s="47" t="n"/>
      <c r="F41" s="47" t="n"/>
      <c r="G41" s="47" t="n"/>
      <c r="H41" s="47" t="n"/>
    </row>
    <row r="42" ht="15" customHeight="1" s="45">
      <c r="A42" s="47" t="n"/>
      <c r="D42" s="47" t="n"/>
      <c r="E42" s="47" t="n"/>
      <c r="F42" s="47" t="n"/>
      <c r="G42" s="47" t="n"/>
      <c r="H42" s="47" t="n"/>
    </row>
    <row r="43" ht="15" customHeight="1" s="45">
      <c r="A43" s="49" t="inlineStr">
        <is>
          <t>JAK CZYTAĆ BUDŻETY</t>
        </is>
      </c>
      <c r="D43" s="47" t="n"/>
      <c r="E43" s="47" t="n"/>
      <c r="F43" s="47" t="n"/>
      <c r="G43" s="47" t="n"/>
      <c r="H43" s="47" t="n"/>
    </row>
    <row r="44" ht="15" customHeight="1" s="45">
      <c r="A44" s="48" t="inlineStr">
        <is>
          <t>Każda z zakładek budżetowych ma ten sam układ: praca organizatora, koszty twarde, podsumowanie.</t>
        </is>
      </c>
      <c r="D44" s="47" t="n"/>
      <c r="E44" s="47" t="n"/>
      <c r="F44" s="47" t="n"/>
      <c r="G44" s="47" t="n"/>
      <c r="H44" s="47" t="n"/>
    </row>
    <row r="45" ht="15" customHeight="1" s="45">
      <c r="A45" s="48" t="inlineStr">
        <is>
          <t>W podsumowaniu jest kwota netto, VAT i kwota brutto, którą sponsor widzi na fakturze.</t>
        </is>
      </c>
      <c r="D45" s="47" t="n"/>
      <c r="E45" s="47" t="n"/>
      <c r="F45" s="47" t="n"/>
      <c r="G45" s="47" t="n"/>
      <c r="H45" s="47" t="n"/>
    </row>
    <row r="46" ht="15" customHeight="1" s="45">
      <c r="A46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7" ht="15" customHeight="1" s="45">
      <c r="A47" s="59" t="inlineStr">
        <is>
          <t>AKADEMIA - PARAMETRY SKALOWANIA</t>
        </is>
      </c>
    </row>
    <row r="48" ht="15" customHeight="1" s="45">
      <c r="A48" s="47" t="inlineStr">
        <is>
          <t>Odczytów na jedno zgłoszenie w rundzie pierwszej</t>
        </is>
      </c>
      <c r="B48" s="56" t="n">
        <v>2</v>
      </c>
      <c r="C48" s="47" t="inlineStr">
        <is>
          <t>Regulamin § 8: co najmniej dwóch czytelników przy 21-60 zgłoszeniach; powyżej 200 przesiew jednoosobowy z drugim odczytem poniżej progu.</t>
        </is>
      </c>
    </row>
    <row r="49" ht="15" customHeight="1" s="45">
      <c r="A49" s="47" t="inlineStr">
        <is>
          <t>Voucher za każde 100 ocenionych rozmów (netto)</t>
        </is>
      </c>
      <c r="B49" s="60" t="n">
        <v>500</v>
      </c>
      <c r="C49" s="47" t="inlineStr">
        <is>
          <t>Świadczenie rzeczowe sponsora Akademii. Do ustalenia ze sponsorem.</t>
        </is>
      </c>
    </row>
    <row r="50" ht="15" customHeight="1" s="45">
      <c r="A50" s="47" t="inlineStr">
        <is>
          <t>Honorarium podstawowe czytelnika (netto)</t>
        </is>
      </c>
      <c r="B50" s="60" t="n">
        <v>2500</v>
      </c>
      <c r="C50" s="47" t="inlineStr">
        <is>
          <t>Przeniesione z Budżetu Nagrody. Voucher jest dodatkiem, nie zamiennikiem.</t>
        </is>
      </c>
    </row>
    <row r="51" ht="15" customHeight="1" s="45">
      <c r="A51" s="47" t="inlineStr">
        <is>
          <t>Liczba czytelników w pierwszej edycji</t>
        </is>
      </c>
      <c r="B51" s="56" t="n">
        <v>15</v>
      </c>
      <c r="C51" s="47" t="inlineStr">
        <is>
          <t>Maksymalnie 20 zgłoszeń na czytelnika (regulamin § 8).</t>
        </is>
      </c>
    </row>
    <row r="52" ht="15" customHeight="1" s="45">
      <c r="A52" s="47" t="inlineStr">
        <is>
          <t>Czas na jeden odczyt rozmowy wraz z kartą oceny (minut)</t>
        </is>
      </c>
      <c r="B52" s="61" t="n">
        <v>30</v>
      </c>
    </row>
    <row r="53" ht="15" customHeight="1" s="45"/>
    <row r="54" ht="15" customHeight="1" s="45">
      <c r="A54" s="62" t="inlineStr">
        <is>
          <t>PLAKAT - PARAMETRY</t>
        </is>
      </c>
    </row>
    <row r="55" ht="15" customHeight="1" s="45">
      <c r="A55" s="44" t="inlineStr">
        <is>
          <t>Liczba zgłoszeń plakatów</t>
        </is>
      </c>
      <c r="B55" s="63" t="n">
        <v>150</v>
      </c>
      <c r="C55" s="44" t="inlineStr">
        <is>
          <t>Wpływa na koszt kontroli formalnej.</t>
        </is>
      </c>
    </row>
    <row r="56" ht="15" customHeight="1" s="45">
      <c r="A56" s="44" t="inlineStr">
        <is>
          <t>Nagrody plakatu łącznie (brutto)</t>
        </is>
      </c>
      <c r="B56" s="60" t="n">
        <v>90000</v>
      </c>
      <c r="C56" s="44" t="inlineStr">
        <is>
          <t>50 tys. + 25 tys. + 15 tys. dla czołowej trójki.</t>
        </is>
      </c>
    </row>
    <row r="57" ht="15" customHeight="1" s="45">
      <c r="A57" s="44" t="inlineStr">
        <is>
          <t>Nagrody publiczności plakatu łącznie (brutto)</t>
        </is>
      </c>
      <c r="B57" s="60" t="n">
        <v>12000</v>
      </c>
      <c r="C57" s="44" t="inlineStr">
        <is>
          <t>3 000 zł dla pracy z największą liczbą głosów oraz 1 000 zł jako Nagroda dla publicznych ocen zgłoszonych plakatów (§ 12 ust. 6).</t>
        </is>
      </c>
    </row>
    <row r="58" ht="15" customHeight="1" s="45">
      <c r="A58" s="44" t="inlineStr">
        <is>
          <t>Medal zwycięzcy i dyplomy plakatu (netto)</t>
        </is>
      </c>
      <c r="B58" s="60" t="n">
        <v>1200</v>
      </c>
      <c r="C58" s="44" t="inlineStr">
        <is>
          <t>Ten sam medal co w plebiscycie na rozmowę, cena jak w Budżecie Nagrody.</t>
        </is>
      </c>
    </row>
    <row r="59" ht="15" customHeight="1" s="45">
      <c r="A59" s="44" t="inlineStr">
        <is>
          <t>Liczba jurorów plakatu</t>
        </is>
      </c>
      <c r="B59" s="63" t="n">
        <v>5</v>
      </c>
      <c r="C59" s="44" t="inlineStr">
        <is>
          <t>Kotwica, nie decyzja: pozycja honorariów w Budżecie Plakatu stoi na zerze jako DO USTALENIA, do rozmowy z przewodniczącym jury.</t>
        </is>
      </c>
    </row>
    <row r="60" ht="15" customHeight="1" s="45">
      <c r="A60" s="44" t="inlineStr">
        <is>
          <t>Godzin oceny na jurora</t>
        </is>
      </c>
      <c r="B60" s="63" t="n">
        <v>10</v>
      </c>
      <c r="C60" s="44" t="inlineStr">
        <is>
          <t>Oglądanie reprodukcji jest szybsze niż odsłuch utworów; przy jury przyjęto 15 h.</t>
        </is>
      </c>
    </row>
    <row r="61" ht="15" customHeight="1" s="45">
      <c r="A61" s="44" t="inlineStr">
        <is>
          <t>Stawka jury plakatu za godzinę (netto)</t>
        </is>
      </c>
      <c r="B61" s="60" t="n">
        <v>290</v>
      </c>
      <c r="C61" s="44" t="inlineStr">
        <is>
          <t>Stawka przyjęta dla jury oceniającej rozmowy.</t>
        </is>
      </c>
    </row>
    <row r="62" ht="15" customHeight="1" s="45">
      <c r="A62" s="44" t="inlineStr">
        <is>
          <t>Liczba prac finałowych</t>
        </is>
      </c>
      <c r="B62" s="63" t="n">
        <v>10</v>
      </c>
      <c r="C62" s="44" t="inlineStr">
        <is>
          <t>Dziesiątka, której oryginały jadą na wystawę.</t>
        </is>
      </c>
    </row>
    <row r="63" ht="15" customHeight="1" s="45">
      <c r="A63" s="44" t="inlineStr">
        <is>
          <t>Transport jednej pracy w jedną stronę (netto)</t>
        </is>
      </c>
      <c r="B63" s="60" t="n">
        <v>400</v>
      </c>
      <c r="C63" s="44" t="inlineStr">
        <is>
          <t>Szacunek, nie oferta. Format do 150 cm przekracza limity standardowych przesyłek.</t>
        </is>
      </c>
    </row>
    <row r="64" ht="15" customHeight="1" s="45">
      <c r="A64" s="44" t="inlineStr">
        <is>
          <t>Ubezpieczenie prac na czas wystawy (netto)</t>
        </is>
      </c>
      <c r="B64" s="60" t="n">
        <v>3000</v>
      </c>
      <c r="C64" s="44" t="inlineStr">
        <is>
          <t>Szacunek przy sumie deklarowanej rzędu 100 tys. zł dla całej dziesiątki.</t>
        </is>
      </c>
    </row>
    <row r="65" ht="15" customHeight="1" s="45">
      <c r="A65" s="44" t="inlineStr">
        <is>
          <t>Rezerwa w Budżecie Plakatu</t>
        </is>
      </c>
      <c r="B65" s="60" t="n">
        <v>0.12</v>
      </c>
      <c r="C65" s="44" t="inlineStr">
        <is>
          <t>Narzut na nieprzewidziane.</t>
        </is>
      </c>
    </row>
    <row r="66" ht="15" customHeight="1" s="45"/>
    <row r="67" ht="15" customHeight="1" s="45">
      <c r="A67" s="62" t="inlineStr">
        <is>
          <t>FILM - PARAMETRY</t>
        </is>
      </c>
    </row>
    <row r="68" ht="15" customHeight="1" s="45">
      <c r="A68" s="44" t="inlineStr">
        <is>
          <t>Liczba zgłoszeń filmów</t>
        </is>
      </c>
      <c r="B68" s="56" t="n">
        <v>150</v>
      </c>
      <c r="C68" s="44" t="inlineStr">
        <is>
          <t>Wpływa na koszt kontroli formalnej i na wielkość Akademii filmu.</t>
        </is>
      </c>
    </row>
    <row r="69" ht="15" customHeight="1" s="45">
      <c r="A69" s="44" t="inlineStr">
        <is>
          <t>Nagrody filmu łącznie (brutto)</t>
        </is>
      </c>
      <c r="B69" s="56" t="n">
        <v>180000</v>
      </c>
      <c r="C69" s="44" t="inlineStr">
        <is>
          <t>100 tys. + 50 tys. + 30 tys. dla czołowej trójki. Siedem wyróżnień nie jest pieniężnych.</t>
        </is>
      </c>
    </row>
    <row r="70" ht="15" customHeight="1" s="45">
      <c r="A70" s="44" t="inlineStr">
        <is>
          <t>Nagrody publiczności filmu łącznie (brutto)</t>
        </is>
      </c>
      <c r="B70" s="56" t="n">
        <v>12000</v>
      </c>
      <c r="C70" s="44" t="inlineStr">
        <is>
          <t>3 000 zł dla filmu z największą liczbą głosów oraz 1 000 zł jako Nagroda dla publicznych ocen zgłoszonych filmów (§ 11a ust. 5).</t>
        </is>
      </c>
    </row>
    <row r="71" ht="15" customHeight="1" s="45">
      <c r="A71" s="44" t="inlineStr">
        <is>
          <t>Medal zwycięzcy i dyplomy filmu (netto)</t>
        </is>
      </c>
      <c r="B71" s="56" t="n">
        <v>1200</v>
      </c>
      <c r="C71" s="44" t="inlineStr">
        <is>
          <t>Ten sam medal co w pozostałych plebiscytach; dyplomy dla dziesięciu finalistów.</t>
        </is>
      </c>
    </row>
    <row r="72" ht="15" customHeight="1" s="45">
      <c r="A72" s="44" t="inlineStr">
        <is>
          <t>Liczba filmów finałowych</t>
        </is>
      </c>
      <c r="B72" s="56" t="n">
        <v>10</v>
      </c>
      <c r="C72" s="44" t="inlineStr">
        <is>
          <t>Dziesięciu finalistów: trójka z nagrodami pieniężnymi i siedem wyróżnień. Minutowe skróty na gali dostaje pięć najwyżej ocenionych.</t>
        </is>
      </c>
    </row>
    <row r="73" ht="15" customHeight="1" s="45">
      <c r="A73" s="44" t="inlineStr">
        <is>
          <t>Liczba jurorów filmu</t>
        </is>
      </c>
      <c r="B73" s="56" t="n">
        <v>5</v>
      </c>
      <c r="C73" s="44" t="inlineStr">
        <is>
          <t>Kotwica, nie decyzja: pozycja honorariów w Budżecie Filmu stoi na zerze jako DO USTALENIA.</t>
        </is>
      </c>
    </row>
    <row r="74" ht="15" customHeight="1" s="45">
      <c r="A74" s="44" t="inlineStr">
        <is>
          <t>Godzin oceny na jurora filmu</t>
        </is>
      </c>
      <c r="B74" s="56" t="n">
        <v>40</v>
      </c>
      <c r="C74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5" ht="15" customHeight="1" s="45">
      <c r="A75" s="44" t="inlineStr">
        <is>
          <t>Stawka jury filmu za godzinę (netto)</t>
        </is>
      </c>
      <c r="B75" s="56" t="n">
        <v>290</v>
      </c>
      <c r="C75" s="44" t="inlineStr">
        <is>
          <t>Stawka przyjęta dla jury oceniającej rozmowy.</t>
        </is>
      </c>
    </row>
    <row r="76" ht="15" customHeight="1" s="45">
      <c r="A76" s="44" t="inlineStr">
        <is>
          <t>Rezerwa w Budżecie Filmu</t>
        </is>
      </c>
      <c r="B76" s="56" t="n">
        <v>0.12</v>
      </c>
      <c r="C76" s="44" t="inlineStr">
        <is>
          <t>Narzut na nieprzewidziane, jak w pozostałych budżetach.</t>
        </is>
      </c>
    </row>
    <row r="77" ht="15" customHeight="1" s="45">
      <c r="A77" s="44" t="inlineStr">
        <is>
          <t>Obejrzeń jednego filmu w Akademii</t>
        </is>
      </c>
      <c r="B77" s="56" t="n">
        <v>2</v>
      </c>
      <c r="C77" s="44" t="inlineStr">
        <is>
          <t>Dwa niezależne obejrzenia, analogicznie do dwóch odczytów rozmowy.</t>
        </is>
      </c>
    </row>
    <row r="78" ht="15" customHeight="1" s="45">
      <c r="A78" s="44" t="inlineStr">
        <is>
          <t>Honorarium za obejrzenie jednego filmu (netto)</t>
        </is>
      </c>
      <c r="B78" s="56" t="n">
        <v>300</v>
      </c>
      <c r="C78" s="44" t="inlineStr">
        <is>
          <t>Film do 90 minut plus karta oceny to około 2 godzin pracy. Ustalenie z 26.10.2026.</t>
        </is>
      </c>
    </row>
    <row r="79" ht="15" customHeight="1" s="45">
      <c r="A79" s="44" t="inlineStr">
        <is>
          <t>Maksimum filmów na jednego oceniającego</t>
        </is>
      </c>
      <c r="B79" s="56" t="n">
        <v>10</v>
      </c>
      <c r="C79" s="44" t="inlineStr">
        <is>
          <t>Dziesięć filmów to około 20 godzin oglądania. Wyznacza, ilu ludzi trzeba przy danym wolumenie.</t>
        </is>
      </c>
    </row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Nagrody - nagrody, ocena i promocja</t>
        </is>
      </c>
      <c r="H1" s="47" t="n"/>
    </row>
    <row r="2" ht="15" customHeight="1" s="45">
      <c r="A2" s="48" t="inlineStr">
        <is>
          <t>Finansuje: Fundator puli nagród.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15 czytelników, 3-5 jurorów, lista rezerwowa</t>
        </is>
      </c>
      <c r="G7" s="68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3 rozmowy spoza edycji</t>
        </is>
      </c>
      <c r="G8" s="68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B9+C9*Wyjaśnienia!$B$18/60</f>
        <v/>
      </c>
      <c r="E9" s="67">
        <f>D9*Wyjaśnienia!$B$17</f>
        <v/>
      </c>
      <c r="F9" s="57" t="inlineStr">
        <is>
          <t>rozłożone na 12 miesięcy naboru</t>
        </is>
      </c>
      <c r="G9" s="68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B10+C10*Wyjaśnienia!$B$18/60</f>
        <v/>
      </c>
      <c r="E10" s="67">
        <f>D10*Wyjaśnienia!$B$17</f>
        <v/>
      </c>
      <c r="F10" s="57" t="inlineStr">
        <is>
          <t>skrypt plus obsługa wyjątków</t>
        </is>
      </c>
      <c r="G10" s="68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B11+C11*Wyjaśnienia!$B$18/60</f>
        <v/>
      </c>
      <c r="E11" s="67">
        <f>D11*Wyjaśnienia!$B$17</f>
        <v/>
      </c>
      <c r="F11" s="57" t="inlineStr">
        <is>
          <t>potwierdzenia, kopie archiwalne, pytania</t>
        </is>
      </c>
      <c r="G11" s="68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B12+C12*Wyjaśnienia!$B$18/60</f>
        <v/>
      </c>
      <c r="E12" s="67">
        <f>D12*Wyjaśnienia!$B$17</f>
        <v/>
      </c>
      <c r="F12" s="57" t="inlineStr">
        <is>
          <t>inscenizacja, treści trudne, odmowy publikacji</t>
        </is>
      </c>
      <c r="G12" s="68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spotkania, protokoły, rozbieżności</t>
        </is>
      </c>
      <c r="G13" s="68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inlineStr">
        <is>
          <t>prowadzi Organizator osobiście</t>
        </is>
      </c>
      <c r="G14" s="68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B15+C15*Wyjaśnienia!$B$18/60</f>
        <v/>
      </c>
      <c r="E15" s="67">
        <f>D15*Wyjaśnienia!$B$17</f>
        <v/>
      </c>
      <c r="F15" s="57" t="inlineStr">
        <is>
          <t>z księgowym</t>
        </is>
      </c>
      <c r="G15" s="68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B16+C16*Wyjaśnienia!$B$18/60</f>
        <v/>
      </c>
      <c r="E16" s="67">
        <f>D16*Wyjaśnienia!$B$17</f>
        <v/>
      </c>
      <c r="F16" s="57" t="inlineStr">
        <is>
          <t>przez cały rok</t>
        </is>
      </c>
      <c r="G16" s="68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9">
        <f>SUM(D7:D16)</f>
        <v/>
      </c>
      <c r="E17" s="53">
        <f>SUM(E7:E16)</f>
        <v/>
      </c>
      <c r="F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H18" s="47" t="n"/>
    </row>
    <row r="19" ht="15" customHeight="1" s="45">
      <c r="A19" s="49" t="inlineStr">
        <is>
          <t>KOSZTY TWARDE</t>
        </is>
      </c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70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Obsługa księgowa projektu</t>
        </is>
      </c>
      <c r="B22" s="70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68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70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68" t="n">
        <v>2027</v>
      </c>
      <c r="H23" s="47" t="n"/>
    </row>
    <row r="24" ht="15" customHeight="1" s="45">
      <c r="A24" s="64" t="inlineStr">
        <is>
          <t>Honoraria jury</t>
        </is>
      </c>
      <c r="B24" s="70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68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70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68" t="n">
        <v>2027</v>
      </c>
    </row>
    <row r="26" ht="15" customHeight="1" s="45">
      <c r="A26" s="64" t="inlineStr">
        <is>
          <t>Promocja naboru</t>
        </is>
      </c>
      <c r="B26" s="70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68" t="n">
        <v>2027</v>
      </c>
      <c r="H26" s="47" t="n"/>
    </row>
    <row r="27" ht="15" customHeight="1" s="45">
      <c r="A27" s="64" t="inlineStr">
        <is>
          <t>Nagrody publiczności (brutto)</t>
        </is>
      </c>
      <c r="B27" s="70">
        <f>Wyjaśnienia!$B$27</f>
        <v/>
      </c>
      <c r="C27" s="65" t="n">
        <v>1</v>
      </c>
      <c r="D27" s="67">
        <f>B27*C27</f>
        <v/>
      </c>
      <c r="E27" s="57" t="inlineStr">
        <is>
          <t>10 000 zł dla zgłoszenia z największą liczbą głosów oraz 2 000 zł za najlepsze uzasadnienie oddanego głosu</t>
        </is>
      </c>
      <c r="F27" s="47" t="n"/>
      <c r="G27" s="68" t="n">
        <v>2028</v>
      </c>
    </row>
    <row r="28" ht="15" customHeight="1" s="45">
      <c r="A28" s="64" t="inlineStr">
        <is>
          <t>Ubezpieczenie OC organizatora</t>
        </is>
      </c>
      <c r="B28" s="70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Nagroda Uczniowska (brutto)</t>
        </is>
      </c>
      <c r="B29" s="70" t="n">
        <v>10000</v>
      </c>
      <c r="C29" s="65" t="n">
        <v>1</v>
      </c>
      <c r="D29" s="67">
        <f>B29*C29</f>
        <v/>
      </c>
      <c r="E29" s="57" t="inlineStr">
        <is>
          <t>wskazywana przez grupy uczniowskie zgłaszane przez szkoły, jedna szkoła - jedno wskazanie; niezależna od werdyktu jury i od Nagrody Publiczności, może przypaść rozmowie spoza pierwszej dziesiątki</t>
        </is>
      </c>
      <c r="F29" s="47" t="n"/>
      <c r="G29" s="68" t="n">
        <v>2028</v>
      </c>
    </row>
    <row r="30" ht="15" customHeight="1" s="45">
      <c r="A30" s="64" t="inlineStr">
        <is>
          <t>Infrastruktura i narzędzia AI na czas rozstrzygnięcia edycji, I-IV 2028 (4 mies.)</t>
        </is>
      </c>
      <c r="B30" s="70" t="n">
        <v>13333</v>
      </c>
      <c r="C30" s="65" t="n">
        <v>1</v>
      </c>
      <c r="D30" s="67">
        <f>B30*C30</f>
        <v/>
      </c>
      <c r="E30" s="57" t="inlineStr">
        <is>
          <t>hosting, magazyn kopii archiwalnych i licencje AI za cztery miesiące domykające edycję; roczne pozycje w Budżecie Uruchomienia kończą się w grudniu 2027, a gala wypada w kwietniu 2028</t>
        </is>
      </c>
      <c r="F30" s="47" t="n"/>
    </row>
    <row r="31" ht="15" customHeight="1" s="45">
      <c r="A31" s="64" t="inlineStr">
        <is>
          <t>Razem koszty twarde</t>
        </is>
      </c>
      <c r="B31" s="70" t="n"/>
      <c r="C31" s="65" t="n"/>
      <c r="D31" s="67">
        <f>SUM(D21:D30)</f>
        <v/>
      </c>
      <c r="E31" s="57" t="n"/>
      <c r="F31" s="47" t="n"/>
      <c r="H31" s="47" t="n"/>
    </row>
    <row r="32" ht="15" customHeight="1" s="45">
      <c r="A32" s="47" t="n"/>
      <c r="H32" s="47" t="n"/>
    </row>
    <row r="33" ht="15" customHeight="1" s="45">
      <c r="A33" s="49" t="inlineStr">
        <is>
          <t>PODSUMOWANIE</t>
        </is>
      </c>
      <c r="H33" s="47" t="n"/>
    </row>
    <row r="34" ht="15" customHeight="1" s="45">
      <c r="A34" s="64" t="inlineStr">
        <is>
          <t>Nagrody (brutto dla laureatów, bez VAT)</t>
        </is>
      </c>
      <c r="B34" s="47" t="n"/>
      <c r="C34" s="47" t="n"/>
      <c r="D34" s="67">
        <f>Wyjaśnienia!$B$19+Wyjaśnienia!$B$22+Wyjaśnienia!$B$23+Wyjaśnienia!$B$20*Wyjaśnienia!$B$21</f>
        <v/>
      </c>
      <c r="E34" s="47" t="n"/>
      <c r="F34" s="47" t="n"/>
      <c r="H34" s="47" t="n"/>
    </row>
    <row r="35" ht="15" customHeight="1" s="45">
      <c r="A35" s="64" t="inlineStr">
        <is>
          <t>Praca organizatora</t>
        </is>
      </c>
      <c r="B35" s="47" t="n"/>
      <c r="C35" s="47" t="n"/>
      <c r="D35" s="52">
        <f>E17</f>
        <v/>
      </c>
      <c r="E35" s="47" t="n"/>
      <c r="F35" s="47" t="n"/>
      <c r="H35" s="47" t="n"/>
    </row>
    <row r="36" ht="15" customHeight="1" s="45">
      <c r="A36" s="64" t="inlineStr">
        <is>
          <t>Koszty twarde</t>
        </is>
      </c>
      <c r="B36" s="47" t="n"/>
      <c r="C36" s="47" t="n"/>
      <c r="D36" s="52">
        <f>D31</f>
        <v/>
      </c>
      <c r="E36" s="47" t="n"/>
      <c r="F36" s="47" t="n"/>
      <c r="H36" s="47" t="n"/>
    </row>
    <row r="37" ht="15" customHeight="1" s="45">
      <c r="A37" s="64" t="inlineStr">
        <is>
          <t>Rezerwa (od pracy i kosztów, bez nagród)</t>
        </is>
      </c>
      <c r="D37" s="47">
        <f>(D35+D36-D27-D29)*Wyjaśnienia!$B$32</f>
        <v/>
      </c>
      <c r="E37" s="44" t="inlineStr">
        <is>
          <t>liczona od pracy i kosztów twardych z wyłączeniem nagród publiczności i Nagrody Uczniowskiej - tak samo jak w pozostałych budżetach, gdzie rezerwa nagród nie obejmuje</t>
        </is>
      </c>
      <c r="H37" s="47" t="n"/>
    </row>
    <row r="38" ht="15" customHeight="1" s="45">
      <c r="A38" s="50" t="inlineStr">
        <is>
          <t>RAZEM NETTO</t>
        </is>
      </c>
      <c r="B38" s="47" t="n"/>
      <c r="C38" s="47" t="n"/>
      <c r="D38" s="53">
        <f>SUM(D34:D37)</f>
        <v/>
      </c>
      <c r="E38" s="47" t="n"/>
      <c r="F38" s="47" t="n"/>
      <c r="H38" s="47" t="n"/>
    </row>
    <row r="39" ht="15" customHeight="1" s="45">
      <c r="A39" s="64" t="inlineStr">
        <is>
          <t>VAT</t>
        </is>
      </c>
      <c r="B39" s="47" t="n"/>
      <c r="C39" s="47" t="n"/>
      <c r="D39" s="52">
        <f>D38*Wyjaśnienia!$B$35</f>
        <v/>
      </c>
      <c r="E39" s="47" t="n"/>
      <c r="F39" s="47" t="n"/>
      <c r="H39" s="47" t="n"/>
    </row>
    <row r="40" ht="15" customHeight="1" s="45">
      <c r="A40" s="50" t="inlineStr">
        <is>
          <t>DO ZAPŁATY BRUTTO - ta liczba trafia na fakturę</t>
        </is>
      </c>
      <c r="B40" s="47" t="n"/>
      <c r="C40" s="47" t="n"/>
      <c r="D40" s="71">
        <f>D38+D39</f>
        <v/>
      </c>
      <c r="E40" s="47" t="n"/>
      <c r="F40" s="47" t="n"/>
      <c r="H40" s="47" t="n"/>
    </row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9:F19"/>
    <mergeCell ref="A1:F1"/>
    <mergeCell ref="A5:F5"/>
    <mergeCell ref="A32:F3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Antologii - antologia i archiwum</t>
        </is>
      </c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noty pisze jury (§ 8 ust. 13a)</t>
        </is>
      </c>
      <c r="G7" s="68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szablon przygotowany w styczniu</t>
        </is>
      </c>
      <c r="G8" s="68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B9+C9*Wyjaśnienia!$B$18/60</f>
        <v/>
      </c>
      <c r="E9" s="67">
        <f>D9*Wyjaśnienia!$B$17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68" t="n">
        <v>2027</v>
      </c>
      <c r="H9" s="47" t="n"/>
    </row>
    <row r="10" ht="15" customHeight="1" s="45">
      <c r="A10" s="64" t="n"/>
      <c r="B10" s="65" t="n"/>
      <c r="C10" s="65" t="n"/>
      <c r="D10" s="66" t="n"/>
      <c r="E10" s="67" t="n"/>
      <c r="F10" s="57" t="n"/>
      <c r="G10" s="68" t="n"/>
      <c r="H10" s="47" t="n"/>
    </row>
    <row r="11" ht="15" customHeight="1" s="45">
      <c r="A11" s="64" t="n"/>
      <c r="B11" s="65" t="n"/>
      <c r="C11" s="65" t="n"/>
      <c r="D11" s="66" t="n"/>
      <c r="E11" s="67" t="n"/>
      <c r="F11" s="57" t="n"/>
      <c r="G11" s="68" t="n"/>
      <c r="H11" s="47" t="n"/>
    </row>
    <row r="12" ht="15" customHeight="1" s="45">
      <c r="A12" s="64" t="n"/>
      <c r="B12" s="65" t="n"/>
      <c r="C12" s="65" t="n"/>
      <c r="D12" s="66" t="n"/>
      <c r="E12" s="67" t="n"/>
      <c r="F12" s="57" t="n"/>
      <c r="G12" s="68" t="n"/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generowanie stron z kopii, nawigacja, tryb redakcji fragmentów</t>
        </is>
      </c>
      <c r="G13" s="68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n"/>
      <c r="G14" s="68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9">
        <f>SUM(D7:D14)</f>
        <v/>
      </c>
      <c r="E15" s="53">
        <f>SUM(E7:E14)</f>
        <v/>
      </c>
      <c r="F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H16" s="47" t="n"/>
    </row>
    <row r="17" ht="15" customHeight="1" s="45">
      <c r="A17" s="49" t="inlineStr">
        <is>
          <t>KOSZTY TWARDE</t>
        </is>
      </c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n"/>
      <c r="B19" s="70" t="n"/>
      <c r="C19" s="65" t="n"/>
      <c r="D19" s="67" t="n"/>
      <c r="E19" s="57" t="n"/>
      <c r="F19" s="47" t="n"/>
      <c r="G19" s="68" t="n"/>
      <c r="H19" s="47" t="n"/>
    </row>
    <row r="20" ht="15" customHeight="1" s="45">
      <c r="A20" s="64" t="n"/>
      <c r="B20" s="70" t="n"/>
      <c r="C20" s="65" t="n"/>
      <c r="D20" s="67" t="n"/>
      <c r="E20" s="57" t="n"/>
      <c r="F20" s="47" t="n"/>
      <c r="G20" s="68" t="n"/>
      <c r="H20" s="47" t="n"/>
    </row>
    <row r="21" ht="15" customHeight="1" s="45">
      <c r="A21" s="64" t="n"/>
      <c r="B21" s="70" t="n"/>
      <c r="C21" s="65" t="n"/>
      <c r="D21" s="67" t="n"/>
      <c r="E21" s="57" t="n"/>
      <c r="F21" s="47" t="n"/>
      <c r="G21" s="68" t="n"/>
      <c r="H21" s="47" t="n"/>
    </row>
    <row r="22" ht="15" customHeight="1" s="45">
      <c r="A22" s="64" t="inlineStr">
        <is>
          <t>Koordynator wydania i moderacji I-IV 2028 (B2B)</t>
        </is>
      </c>
      <c r="B22" s="70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68" t="n">
        <v>2028</v>
      </c>
      <c r="H22" s="47" t="n"/>
    </row>
    <row r="23" ht="15" customHeight="1" s="45">
      <c r="A23" s="64" t="inlineStr">
        <is>
          <t>Korekta językowa antologii</t>
        </is>
      </c>
      <c r="B23" s="70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68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70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68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70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      </is>
      </c>
      <c r="F25" s="47" t="n"/>
      <c r="G25" s="68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70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68" t="n">
        <v>2028</v>
      </c>
      <c r="H26" s="47" t="n"/>
    </row>
    <row r="27" ht="15" customHeight="1" s="45">
      <c r="A27" s="64" t="n"/>
      <c r="B27" s="70" t="n"/>
      <c r="C27" s="65" t="n"/>
      <c r="D27" s="67" t="n"/>
      <c r="E27" s="57" t="n"/>
      <c r="F27" s="47" t="n"/>
      <c r="G27" s="68" t="n"/>
      <c r="H27" s="47" t="n"/>
    </row>
    <row r="28" ht="15" customHeight="1" s="45">
      <c r="A28" s="64" t="n"/>
      <c r="B28" s="70" t="n"/>
      <c r="C28" s="65" t="n"/>
      <c r="D28" s="67" t="n"/>
      <c r="E28" s="57" t="n"/>
      <c r="F28" s="47" t="n"/>
      <c r="G28" s="68" t="n"/>
      <c r="H28" s="47" t="n"/>
    </row>
    <row r="29" ht="15" customHeight="1" s="45">
      <c r="A29" s="64" t="n"/>
      <c r="B29" s="70" t="n"/>
      <c r="C29" s="65" t="n"/>
      <c r="D29" s="67" t="n"/>
      <c r="E29" s="57" t="n"/>
      <c r="F29" s="47" t="n"/>
      <c r="G29" s="68" t="n"/>
      <c r="H29" s="47" t="n"/>
    </row>
    <row r="30" ht="15" customHeight="1" s="45">
      <c r="A30" s="72" t="n"/>
      <c r="B30" s="60" t="n"/>
      <c r="C30" s="73" t="n"/>
      <c r="D30" s="52" t="n"/>
      <c r="F30" s="72" t="n"/>
      <c r="G30" s="68" t="n"/>
    </row>
    <row r="31" ht="15" customHeight="1" s="45">
      <c r="A31" s="72" t="inlineStr">
        <is>
          <t>Produkcja podcastu wraz z honorarium prowadzącego (24 odcinki)</t>
        </is>
      </c>
      <c r="B31" s="60" t="n">
        <v>0</v>
      </c>
      <c r="C31" s="73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2" t="n"/>
      <c r="G31" s="68" t="n">
        <v>2027</v>
      </c>
    </row>
    <row r="32" ht="15" customHeight="1" s="45">
      <c r="A32" s="72" t="inlineStr">
        <is>
          <t>Produkcja audiobooka antologii (trzy głosy)</t>
        </is>
      </c>
      <c r="B32" s="60" t="n">
        <v>40000</v>
      </c>
      <c r="C32" s="73" t="n">
        <v>1</v>
      </c>
      <c r="D32" s="52">
        <f>B32*C32</f>
        <v/>
      </c>
      <c r="E32" s="44" t="inlineStr">
        <is>
          <t>około 10 godzin gotowego nagrania; trzej lektorzy - uczestnik, sztuczna inteligencja i komentarze jury - studio, montaż dialogowy i mastering</t>
        </is>
      </c>
      <c r="F32" s="72" t="n"/>
      <c r="G32" s="68" t="n">
        <v>2028</v>
      </c>
    </row>
    <row r="33" ht="15" customHeight="1" s="45">
      <c r="A33" s="50" t="inlineStr">
        <is>
          <t>Razem koszty twarde</t>
        </is>
      </c>
      <c r="H33" s="47" t="n"/>
    </row>
    <row r="34" ht="15" customHeight="1" s="45">
      <c r="A34" s="47" t="n"/>
      <c r="H34" s="47" t="n"/>
    </row>
    <row r="35" ht="15" customHeight="1" s="45">
      <c r="A35" s="49" t="inlineStr">
        <is>
          <t>PODSUMOWANIE</t>
        </is>
      </c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E15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SUM(D19:D32)</f>
        <v/>
      </c>
      <c r="E37" s="47" t="n"/>
      <c r="F37" s="47" t="n"/>
      <c r="H37" s="47" t="n"/>
    </row>
    <row r="38" ht="15" customHeight="1" s="45">
      <c r="A38" s="64" t="inlineStr">
        <is>
          <t>Wynagrodzenie wykonawcy (20% od pracy) i rezerwa (10% od całości)</t>
        </is>
      </c>
      <c r="B38" s="47" t="n"/>
      <c r="C38" s="47" t="n"/>
      <c r="D38" s="52">
        <f>D36*Wyjaśnienia!$B$33+(D36+D37)*0.1</f>
        <v/>
      </c>
      <c r="E38" s="47" t="inlineStr">
        <is>
          <t>wynagrodzenie liczone wyłącznie od pracy własnej; koszty zewnętrzne wchodzą bez narzutu</t>
        </is>
      </c>
      <c r="F38" s="47" t="n"/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SUM(D36:D38)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D39*Wyjaśnienia!$B$35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62" customWidth="1" style="45" min="1" max="1"/>
    <col width="16" customWidth="1" style="45" min="2" max="2"/>
    <col width="14" customWidth="1" style="45" min="3" max="3"/>
    <col width="14" customWidth="1" style="45" min="4" max="4"/>
    <col width="70" customWidth="1" style="45" min="5" max="5"/>
    <col width="30" customWidth="1" style="45" min="6" max="6"/>
    <col width="11" customWidth="1" style="45" min="7" max="7"/>
  </cols>
  <sheetData>
    <row r="1">
      <c r="A1" s="47" t="inlineStr">
        <is>
          <t>Budżet Uruchomienia - fundacja, znak towarowy, strona i narzędzia</t>
        </is>
      </c>
    </row>
    <row r="2">
      <c r="A2" s="47" t="inlineStr">
        <is>
          <t>Finansuje: Mecenas Założycielski. Kwoty netto, chyba że napisano inaczej.</t>
        </is>
      </c>
    </row>
    <row r="3">
      <c r="A3" s="47" t="inlineStr">
        <is>
          <t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      </is>
      </c>
    </row>
    <row r="5">
      <c r="A5" s="47" t="inlineStr">
        <is>
          <t>PRACA ORGANIZATORA</t>
        </is>
      </c>
    </row>
    <row r="6">
      <c r="A6" s="47" t="inlineStr">
        <is>
          <t>Pozycja</t>
        </is>
      </c>
      <c r="B6" s="47" t="inlineStr">
        <is>
          <t>Godziny</t>
        </is>
      </c>
      <c r="D6" s="47" t="inlineStr">
        <is>
          <t>Razem godzin</t>
        </is>
      </c>
      <c r="E6" s="47" t="inlineStr">
        <is>
          <t>Kwota</t>
        </is>
      </c>
    </row>
    <row r="7">
      <c r="A7" s="47" t="inlineStr">
        <is>
          <t>Skraper i kopia archiwalna zgłoszenia</t>
        </is>
      </c>
      <c r="B7" s="47" t="n">
        <v>50</v>
      </c>
      <c r="D7" s="47">
        <f>B7</f>
        <v/>
      </c>
      <c r="E7" s="47">
        <f>D7*Wyjaśnienia!$B$17</f>
        <v/>
      </c>
      <c r="F7" s="47">
        <f>D10*Wyjaśnienia!$B$17</f>
        <v/>
      </c>
      <c r="G7" s="47" t="n">
        <v>2027</v>
      </c>
    </row>
    <row r="8">
      <c r="A8" s="47" t="inlineStr">
        <is>
          <t>Narzędzie do oceny formalnej</t>
        </is>
      </c>
      <c r="B8" s="47" t="n">
        <v>25</v>
      </c>
      <c r="D8" s="47">
        <f>B8</f>
        <v/>
      </c>
      <c r="E8" s="47">
        <f>D8*Wyjaśnienia!$B$17</f>
        <v/>
      </c>
      <c r="F8" s="47">
        <f>D11*Wyjaśnienia!$B$17</f>
        <v/>
      </c>
      <c r="G8" s="47" t="n">
        <v>2027</v>
      </c>
    </row>
    <row r="9">
      <c r="A9" s="47" t="inlineStr">
        <is>
          <t>Panel oceny dla Akademii i jury</t>
        </is>
      </c>
      <c r="B9" s="47" t="n">
        <v>160</v>
      </c>
      <c r="D9" s="47">
        <f>B9</f>
        <v/>
      </c>
      <c r="E9" s="47">
        <f>D9*Wyjaśnienia!$B$17</f>
        <v/>
      </c>
      <c r="F9" s="47">
        <f>D12*Wyjaśnienia!$B$17</f>
        <v/>
      </c>
      <c r="G9" s="47" t="n">
        <v>2027</v>
      </c>
    </row>
    <row r="10">
      <c r="A10" s="47" t="inlineStr">
        <is>
          <t>Instalowalna wersja mobilna strony: powiadomienia i tryb bez sieci</t>
        </is>
      </c>
      <c r="B10" s="47" t="n">
        <v>120</v>
      </c>
      <c r="D10" s="47">
        <f>B10</f>
        <v/>
      </c>
      <c r="E10" s="47">
        <f>D10*Wyjaśnienia!$B$17</f>
        <v/>
      </c>
      <c r="F10" s="47" t="inlineStr">
        <is>
          <t>ta sama strona dodana do ekranu telefonu: manifest i instalacja, działanie bez sieci, pobranie audiobooka i e-booka do czytania oraz słuchania offline, powiadomienia o nowych zgłoszeniach wraz z obsługą subskrypcji po stronie serwera, testy na Androidzie i iPhonie</t>
        </is>
      </c>
      <c r="G10" s="47" t="n">
        <v>2027</v>
      </c>
    </row>
    <row r="11">
      <c r="A11" s="47" t="inlineStr">
        <is>
          <t>Razem praca</t>
        </is>
      </c>
      <c r="D11" s="47">
        <f>SUM(D7:D10)</f>
        <v/>
      </c>
      <c r="E11" s="47">
        <f>SUM(E7:E10)</f>
        <v/>
      </c>
    </row>
    <row r="13">
      <c r="A13" s="47" t="inlineStr">
        <is>
          <t>KOSZTY TWARDE</t>
        </is>
      </c>
    </row>
    <row r="14">
      <c r="A14" s="47" t="inlineStr">
        <is>
          <t>Pozycja</t>
        </is>
      </c>
      <c r="B14" s="47" t="inlineStr">
        <is>
          <t>Cena jednostkowa</t>
        </is>
      </c>
      <c r="C14" s="47" t="inlineStr">
        <is>
          <t>Ilość</t>
        </is>
      </c>
      <c r="D14" s="47" t="inlineStr">
        <is>
          <t>Kwota</t>
        </is>
      </c>
      <c r="E14" s="47" t="inlineStr">
        <is>
          <t>Uwagi</t>
        </is>
      </c>
    </row>
    <row r="15">
      <c r="A15" s="47" t="inlineStr">
        <is>
          <t>Powołanie fundacji-organizatora</t>
        </is>
      </c>
      <c r="B15" s="47" t="n">
        <v>3000</v>
      </c>
      <c r="C15" s="47" t="n">
        <v>1</v>
      </c>
      <c r="D15" s="47">
        <f>B15*C15</f>
        <v/>
      </c>
      <c r="E15" s="47" t="inlineStr">
        <is>
          <t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      </is>
      </c>
      <c r="G15" s="47" t="n">
        <v>2027</v>
      </c>
    </row>
    <row r="16">
      <c r="A16" s="47" t="inlineStr">
        <is>
          <t>Konsultacja prawna przed otwarciem naboru</t>
        </is>
      </c>
      <c r="B16" s="47" t="n">
        <v>6000</v>
      </c>
      <c r="C16" s="47" t="n">
        <v>1</v>
      </c>
      <c r="D16" s="47">
        <f>B16*C16</f>
        <v/>
      </c>
      <c r="E16" s="47" t="inlineStr">
        <is>
          <t>sześć obszarów, w tym licencja i archiwum; obowiązkowa przed naborem</t>
        </is>
      </c>
      <c r="G16" s="47" t="n">
        <v>2027</v>
      </c>
    </row>
    <row r="17">
      <c r="A17" s="47" t="inlineStr">
        <is>
          <t>Domeny, poczta, hosting, magazyn kopii archiwalnych</t>
        </is>
      </c>
      <c r="B17" s="47" t="n">
        <v>10000</v>
      </c>
      <c r="C17" s="47" t="n">
        <v>1</v>
      </c>
      <c r="D17" s="47">
        <f>B17*C17</f>
        <v/>
      </c>
      <c r="E17" s="4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G17" s="47" t="n">
        <v>2027</v>
      </c>
    </row>
    <row r="18">
      <c r="A18" s="47" t="inlineStr">
        <is>
          <t>Przebudowa strony: UI/UX i teksty (agencja)</t>
        </is>
      </c>
      <c r="B18" s="47" t="n">
        <v>15000</v>
      </c>
      <c r="C18" s="47" t="n">
        <v>1</v>
      </c>
      <c r="D18" s="47">
        <f>B18*C18</f>
        <v/>
      </c>
      <c r="E18" s="47" t="inlineStr">
        <is>
          <t>projekt i wdrożenie strony Nagrody wraz z copywritingiem</t>
        </is>
      </c>
      <c r="G18" s="47" t="n">
        <v>2027</v>
      </c>
    </row>
    <row r="19">
      <c r="A19" s="47" t="inlineStr">
        <is>
          <t>Obsługa fundacji za pierwszy rok</t>
        </is>
      </c>
      <c r="B19" s="47" t="n">
        <v>6000</v>
      </c>
      <c r="C19" s="47" t="n">
        <v>1</v>
      </c>
      <c r="D19" s="47">
        <f>B19*C19</f>
        <v/>
      </c>
      <c r="E19" s="47" t="inlineStr">
        <is>
          <t>księgowość, sprawozdanie finansowe i sprawozdanie dla ministra nadzorującego</t>
        </is>
      </c>
      <c r="G19" s="47" t="n">
        <v>2027</v>
      </c>
    </row>
    <row r="20">
      <c r="A20" s="47" t="inlineStr">
        <is>
          <t>Narzędzia AI i licencje oprogramowania (rok)</t>
        </is>
      </c>
      <c r="B20" s="47" t="n">
        <v>30000</v>
      </c>
      <c r="C20" s="47" t="n">
        <v>1</v>
      </c>
      <c r="D20" s="47">
        <f>B20*C20</f>
        <v/>
      </c>
      <c r="E20" s="47" t="inlineStr">
        <is>
          <t>Dostęp do narzędzi AI, bez których 1469 godzin pracy organizatora nie jest wykonalne; rzędu 2,5 tys. zł miesięcznie</t>
        </is>
      </c>
      <c r="G20" s="47" t="n">
        <v>2027</v>
      </c>
    </row>
    <row r="21">
      <c r="A21" s="47" t="inlineStr">
        <is>
          <t>Rejestracja znaku towarowego Konstela w EUIPO</t>
        </is>
      </c>
      <c r="B21" s="47" t="n">
        <v>4500</v>
      </c>
      <c r="C21" s="47" t="n">
        <v>1</v>
      </c>
      <c r="D21" s="47">
        <f>B21*C21</f>
        <v/>
      </c>
      <c r="G21" s="47" t="n">
        <v>2027</v>
      </c>
    </row>
    <row r="22">
      <c r="A22" s="47" t="inlineStr">
        <is>
          <t>Razem koszty twarde</t>
        </is>
      </c>
      <c r="D22" s="47">
        <f>SUM(D15:D21)</f>
        <v/>
      </c>
    </row>
    <row r="24">
      <c r="A24" s="47" t="inlineStr">
        <is>
          <t>PODSUMOWANIE</t>
        </is>
      </c>
    </row>
    <row r="25">
      <c r="A25" s="47" t="inlineStr">
        <is>
          <t>Praca organizatora</t>
        </is>
      </c>
      <c r="D25" s="47">
        <f>E11</f>
        <v/>
      </c>
    </row>
    <row r="26">
      <c r="A26" s="47" t="inlineStr">
        <is>
          <t>Koszty twarde</t>
        </is>
      </c>
      <c r="D26" s="47">
        <f>D22</f>
        <v/>
      </c>
    </row>
    <row r="27">
      <c r="A27" s="47" t="inlineStr">
        <is>
          <t>Wynagrodzenie wykonawcy (20% od pracy) i rezerwa (10% od całości)</t>
        </is>
      </c>
      <c r="D27" s="47">
        <f>D25*Wyjaśnienia!$B$33+(D25+D26)*0.1</f>
        <v/>
      </c>
      <c r="E27" s="47" t="inlineStr">
        <is>
          <t>wynagrodzenie liczone wyłącznie od pracy własnej; koszty zewnętrzne wchodzą bez narzutu</t>
        </is>
      </c>
    </row>
    <row r="28">
      <c r="A28" s="47" t="inlineStr">
        <is>
          <t>RAZEM NETTO</t>
        </is>
      </c>
      <c r="D28" s="47">
        <f>SUM(D25:D27)</f>
        <v/>
      </c>
    </row>
    <row r="29">
      <c r="A29" s="47" t="inlineStr">
        <is>
          <t>VAT</t>
        </is>
      </c>
      <c r="D29" s="47">
        <f>D28*Wyjaśnienia!$B$35</f>
        <v/>
      </c>
    </row>
    <row r="30">
      <c r="A30" s="47" t="inlineStr">
        <is>
          <t>DO ZAPŁATY BRUTTO - ta liczba trafia na fakturę</t>
        </is>
      </c>
      <c r="D30" s="47">
        <f>D28+D29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Plebiscytu - plebiscyt na piosenkę</t>
        </is>
      </c>
      <c r="H1" s="47" t="n"/>
    </row>
    <row r="2" ht="15" customHeight="1" s="45">
      <c r="A2" s="48" t="inlineStr">
        <is>
          <t>Finansuje: Sponsor plebiscytu.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B7+C7*Wyjaśnienia!$B$24/60</f>
        <v/>
      </c>
      <c r="E7" s="67">
        <f>D7*Wyjaśnienia!$B$17</f>
        <v/>
      </c>
      <c r="F7" s="57" t="inlineStr">
        <is>
          <t>10 minut na zgłoszenie; przy dużych liczbach część kontroli automatyzowana.</t>
        </is>
      </c>
      <c r="G7" s="68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B8+C8*Wyjaśnienia!$B$24/60</f>
        <v/>
      </c>
      <c r="E8" s="67">
        <f>D8*Wyjaśnienia!$B$17</f>
        <v/>
      </c>
      <c r="F8" s="57" t="inlineStr">
        <is>
          <t>umowy, terminy w studiu, przekazanie praw autorom</t>
        </is>
      </c>
      <c r="G8" s="68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B9+C9*Wyjaśnienia!$B$24/60</f>
        <v/>
      </c>
      <c r="E9" s="67">
        <f>D9*Wyjaśnienia!$B$17</f>
        <v/>
      </c>
      <c r="F9" s="57" t="inlineStr">
        <is>
          <t>w tym preselekcja powyżej progu</t>
        </is>
      </c>
      <c r="G9" s="68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B10+C10*Wyjaśnienia!$B$24/60</f>
        <v/>
      </c>
      <c r="E10" s="67">
        <f>D10*Wyjaśnienia!$B$17</f>
        <v/>
      </c>
      <c r="F10" s="57" t="inlineStr">
        <is>
          <t>bramka SMS, ukryte liczniki, ogłoszenie na gali</t>
        </is>
      </c>
      <c r="G10" s="68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B11+C11*Wyjaśnienia!$B$24/60</f>
        <v/>
      </c>
      <c r="E11" s="67">
        <f>D11*Wyjaśnienia!$B$17</f>
        <v/>
      </c>
      <c r="F11" s="57" t="inlineStr">
        <is>
          <t>grupy muzyków, szkoły muzyczne, scena coverowa, radia</t>
        </is>
      </c>
      <c r="G11" s="68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9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H13" s="47" t="n"/>
    </row>
    <row r="14" ht="15" customHeight="1" s="45">
      <c r="A14" s="49" t="inlineStr">
        <is>
          <t>KOSZTY TWARDE</t>
        </is>
      </c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Wyjaśnienia!$B$25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68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Wyjaśnienia!$B$26</f>
        <v/>
      </c>
      <c r="C17" s="65" t="n">
        <v>1</v>
      </c>
      <c r="D17" s="67">
        <f>B17*C17</f>
        <v/>
      </c>
      <c r="E17" s="57" t="inlineStr">
        <is>
          <t>10 000 zł dla zgłoszenia z największą liczbą głosów oraz 2 000 zł za najlepsze uzasadnienie oddanego głosu</t>
        </is>
      </c>
      <c r="F17" s="47" t="n"/>
      <c r="G17" s="68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Wyjaśnienia!$B$28</f>
        <v/>
      </c>
      <c r="C18" s="66">
        <f>Wyjaśnienia!$B$29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68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Wyjaśnienia!$B$30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Wyjaśnienia!$B$31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68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70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70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68" t="n">
        <v>2027</v>
      </c>
    </row>
    <row r="23" ht="15" customHeight="1" s="45">
      <c r="A23" s="64" t="inlineStr">
        <is>
          <t>Realizacja części artystycznej gali (netto)</t>
        </is>
      </c>
      <c r="B23" s="70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68" t="n">
        <v>2028</v>
      </c>
      <c r="H23" s="47" t="n"/>
    </row>
    <row r="24" ht="15" customHeight="1" s="45">
      <c r="A24" s="72" t="inlineStr">
        <is>
          <t>Obsługa prawna plebiscytu (netto)</t>
        </is>
      </c>
      <c r="B24" s="60" t="n">
        <v>0</v>
      </c>
      <c r="C24" s="73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2" t="inlineStr">
        <is>
          <t>odrębne zlecenie na pytania plebiscytowe; kwota z zapasem wobec ofert kancelarii</t>
        </is>
      </c>
      <c r="G24" s="68" t="n">
        <v>2027</v>
      </c>
    </row>
    <row r="25" ht="15" customHeight="1" s="45">
      <c r="A25" s="72" t="inlineStr">
        <is>
          <t>Dojazd i nocleg dziesięciu finalistów na galę (netto)</t>
        </is>
      </c>
      <c r="B25" s="60" t="n">
        <v>0</v>
      </c>
      <c r="C25" s="73" t="n">
        <v>1</v>
      </c>
      <c r="D25" s="52">
        <f>B25*C25</f>
        <v/>
      </c>
      <c r="E25" s="44" t="inlineStr">
        <is>
          <t>DO WYCENY - udział czołowej trójki obowiązkowy (§ 14 regulaminu plebiscytu), pokrycie dla całej dziesiątki</t>
        </is>
      </c>
      <c r="F25" s="72" t="n"/>
      <c r="G25" s="68" t="n">
        <v>2028</v>
      </c>
    </row>
    <row r="26" ht="15" customHeight="1" s="45">
      <c r="A26" s="50" t="inlineStr">
        <is>
          <t>Razem koszty twarde</t>
        </is>
      </c>
      <c r="D26" s="47">
        <f>SUM(D16:D25)</f>
        <v/>
      </c>
      <c r="H26" s="47" t="n"/>
    </row>
    <row r="27" ht="15" customHeight="1" s="45">
      <c r="A27" s="47" t="n"/>
      <c r="H27" s="47" t="n"/>
    </row>
    <row r="28" ht="15" customHeight="1" s="45">
      <c r="A28" s="49" t="inlineStr">
        <is>
          <t>PODSUMOWANIE</t>
        </is>
      </c>
      <c r="H28" s="47" t="n"/>
    </row>
    <row r="29" ht="15" customHeight="1" s="45">
      <c r="A29" s="64" t="inlineStr">
        <is>
          <t>Nagrody (brutto dla laureatów, bez VAT)</t>
        </is>
      </c>
      <c r="B29" s="47" t="n"/>
      <c r="C29" s="47" t="n"/>
      <c r="D29" s="67">
        <f>Wyjaśnienia!$B$25+Wyjaśnienia!$B$26</f>
        <v/>
      </c>
      <c r="E29" s="47" t="n"/>
      <c r="F29" s="47" t="n"/>
      <c r="H29" s="47" t="n"/>
    </row>
    <row r="30" ht="15" customHeight="1" s="45">
      <c r="A30" s="64" t="inlineStr">
        <is>
          <t>Praca organizatora</t>
        </is>
      </c>
      <c r="B30" s="47" t="n"/>
      <c r="C30" s="47" t="n"/>
      <c r="D30" s="52">
        <f>E12</f>
        <v/>
      </c>
      <c r="E30" s="47" t="n"/>
      <c r="F30" s="47" t="n"/>
      <c r="H30" s="47" t="n"/>
    </row>
    <row r="31" ht="15" customHeight="1" s="45">
      <c r="A31" s="64" t="inlineStr">
        <is>
          <t>Koszty twarde bez nagród</t>
        </is>
      </c>
      <c r="B31" s="47" t="n"/>
      <c r="C31" s="47" t="n"/>
      <c r="D31" s="52">
        <f>D26-D29</f>
        <v/>
      </c>
      <c r="E31" s="47" t="n"/>
      <c r="F31" s="47" t="n"/>
      <c r="H31" s="47" t="n"/>
    </row>
    <row r="32" ht="15" customHeight="1" s="45">
      <c r="A32" s="64" t="inlineStr">
        <is>
          <t>Rezerwa (od pracy i kosztów, bez nagród)</t>
        </is>
      </c>
      <c r="B32" s="47" t="n"/>
      <c r="C32" s="47" t="n"/>
      <c r="D32" s="52">
        <f>(D30+D31)*Wyjaśnienia!$B$34</f>
        <v/>
      </c>
      <c r="E32" s="47" t="n"/>
      <c r="F32" s="47" t="n"/>
      <c r="H32" s="47" t="n"/>
    </row>
    <row r="33" ht="15" customHeight="1" s="45">
      <c r="A33" s="50" t="inlineStr">
        <is>
          <t>RAZEM NETTO</t>
        </is>
      </c>
      <c r="B33" s="47" t="n"/>
      <c r="C33" s="47" t="n"/>
      <c r="D33" s="53">
        <f>SUM(D29:D32)</f>
        <v/>
      </c>
      <c r="E33" s="47" t="n"/>
      <c r="F33" s="47" t="n"/>
      <c r="H33" s="47" t="n"/>
    </row>
    <row r="34" ht="15" customHeight="1" s="45">
      <c r="A34" s="64" t="inlineStr">
        <is>
          <t>VAT</t>
        </is>
      </c>
      <c r="B34" s="47" t="n"/>
      <c r="C34" s="47" t="n"/>
      <c r="D34" s="52">
        <f>D33*Wyjaśnienia!$B$35</f>
        <v/>
      </c>
      <c r="E34" s="47" t="n"/>
      <c r="F34" s="47" t="n"/>
      <c r="H34" s="47" t="n"/>
    </row>
    <row r="35" ht="15" customHeight="1" s="45">
      <c r="A35" s="50" t="inlineStr">
        <is>
          <t>DO ZAPŁATY BRUTTO - ta liczba trafia na fakturę</t>
        </is>
      </c>
      <c r="B35" s="47" t="n"/>
      <c r="C35" s="47" t="n"/>
      <c r="D35" s="71">
        <f>D33+D34</f>
        <v/>
      </c>
      <c r="E35" s="47" t="n"/>
      <c r="F35" s="47" t="n"/>
      <c r="H35" s="47" t="n"/>
    </row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8</v>
      </c>
      <c r="D7" s="68">
        <f>B7+C7*Wyjaśnienia!$B$55/60</f>
        <v/>
      </c>
      <c r="E7" s="52">
        <f>D7*Wyjaśnienia!$B$17</f>
        <v/>
      </c>
      <c r="F7" s="47" t="inlineStr">
        <is>
          <t>format, proporcje, rozdzielczość, oświadczenia; 8 minut na zgłoszenie</t>
        </is>
      </c>
      <c r="G7" s="68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68" t="n"/>
      <c r="D8" s="68">
        <f>B8+C8*Wyjaśnienia!$B$55/60</f>
        <v/>
      </c>
      <c r="E8" s="52">
        <f>D8*Wyjaśnienia!$B$17</f>
        <v/>
      </c>
      <c r="F8" s="47" t="inlineStr">
        <is>
          <t>werdykt zapada przed galą, bo okładka antologii idzie do druku</t>
        </is>
      </c>
      <c r="G8" s="68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68" t="n"/>
      <c r="D9" s="68">
        <f>B9+C9*Wyjaśnienia!$B$55/60</f>
        <v/>
      </c>
      <c r="E9" s="52">
        <f>D9*Wyjaśnienia!$B$17</f>
        <v/>
      </c>
      <c r="F9" s="47" t="inlineStr">
        <is>
          <t>ukryte liczniki, ogłoszenie na gali</t>
        </is>
      </c>
      <c r="G9" s="68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68" t="n"/>
      <c r="D10" s="68">
        <f>B10+C10*Wyjaśnienia!$B$55/60</f>
        <v/>
      </c>
      <c r="E10" s="52">
        <f>D10*Wyjaśnienia!$B$17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68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68" t="n"/>
      <c r="D11" s="68">
        <f>B11+C11*Wyjaśnienia!$B$55/60</f>
        <v/>
      </c>
      <c r="E11" s="52">
        <f>D11*Wyjaśnienia!$B$17</f>
        <v/>
      </c>
      <c r="F11" s="47" t="inlineStr">
        <is>
          <t>zgoda w 7 dni po werdykcie, typografia, kadrowanie, redakcja</t>
        </is>
      </c>
      <c r="G11" s="68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68" t="n"/>
      <c r="D12" s="68">
        <f>B12+C12*Wyjaśnienia!$B$55/60</f>
        <v/>
      </c>
      <c r="E12" s="52">
        <f>D12*Wyjaśnienia!$B$17</f>
        <v/>
      </c>
      <c r="F12" s="47" t="inlineStr">
        <is>
          <t>ASP, licea plastyczne, grupy ilustratorów, konkursy plakatowe</t>
        </is>
      </c>
      <c r="G12" s="68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68" t="n"/>
      <c r="D13" s="68">
        <f>B13+C13*Wyjaśnienia!$B$55/60</f>
        <v/>
      </c>
      <c r="E13" s="52">
        <f>D13*Wyjaśnienia!$B$17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68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Wyjaśnienia!$B$56</f>
        <v/>
      </c>
      <c r="C18" s="68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68" t="n">
        <v>2028</v>
      </c>
    </row>
    <row r="19" ht="15" customHeight="1" s="45">
      <c r="A19" s="47" t="inlineStr">
        <is>
          <t>Nagrody publiczności (brutto)</t>
        </is>
      </c>
      <c r="B19" s="52">
        <f>Wyjaśnienia!$B$57</f>
        <v/>
      </c>
      <c r="C19" s="68" t="n">
        <v>1</v>
      </c>
      <c r="D19" s="52">
        <f>B19*C19</f>
        <v/>
      </c>
      <c r="E19" s="47" t="inlineStr">
        <is>
          <t>10 000 zł dla zgłoszenia z największą liczbą głosów oraz 2 000 zł za najlepsze uzasadnienie oddanego głosu</t>
        </is>
      </c>
      <c r="G19" s="68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Wyjaśnienia!$B$58</f>
        <v/>
      </c>
      <c r="C20" s="68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68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68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68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68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68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Wyjaśnienia!$B$63*2</f>
        <v/>
      </c>
      <c r="C23" s="68">
        <f>Wyjaśnienia!$B$62</f>
        <v/>
      </c>
      <c r="D23" s="52">
        <f>B23*C23</f>
        <v/>
      </c>
      <c r="E23" s="47" t="inlineStr">
        <is>
          <t>szacunek, nie oferta; organizator pokrywa obie strony</t>
        </is>
      </c>
      <c r="G23" s="68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Wyjaśnienia!$B$64</f>
        <v/>
      </c>
      <c r="C24" s="68" t="n">
        <v>1</v>
      </c>
      <c r="D24" s="52">
        <f>B24*C24</f>
        <v/>
      </c>
      <c r="E24" s="47" t="inlineStr">
        <is>
          <t>szacunek przy sumie deklarowanej rzędu 100 tys. zł</t>
        </is>
      </c>
      <c r="G24" s="68" t="n">
        <v>2028</v>
      </c>
    </row>
    <row r="25" ht="15" customHeight="1" s="45">
      <c r="A25" s="47" t="inlineStr">
        <is>
          <t>Realizacja wystawy przy gali (netto)</t>
        </is>
      </c>
      <c r="B25" s="60" t="n">
        <v>0</v>
      </c>
      <c r="C25" s="68" t="n">
        <v>1</v>
      </c>
      <c r="D25" s="52">
        <f>B25*C25</f>
        <v/>
      </c>
      <c r="E25" s="47" t="inlineStr">
        <is>
          <t>DO WYCENY - zawieszenie, oświetlenie i opisy prac w miejscu gali. Wernisaż i wystawa w galerii sztuki są osobną pozycją na końcu tej zakładki, poza zakresem pytania do MKiDN.</t>
        </is>
      </c>
      <c r="G25" s="68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68" t="n">
        <v>1</v>
      </c>
      <c r="D26" s="52">
        <f>B26*C26</f>
        <v/>
      </c>
      <c r="E26" s="47" t="inlineStr">
        <is>
          <t>DO WYCENY - odrębne zlecenie kancelarii, nie złożone</t>
        </is>
      </c>
      <c r="G26" s="68" t="n">
        <v>2027</v>
      </c>
    </row>
    <row r="27" ht="15" customHeight="1" s="45">
      <c r="A27" s="47" t="inlineStr">
        <is>
          <t>Dojazd i nocleg finalistów na galę (netto)</t>
        </is>
      </c>
      <c r="B27" s="60" t="n">
        <v>0</v>
      </c>
      <c r="C27" s="68" t="n">
        <v>1</v>
      </c>
      <c r="D27" s="52">
        <f>B27*C27</f>
        <v/>
      </c>
      <c r="E27" s="47" t="inlineStr">
        <is>
          <t>DO WYCENY - jak przy plebiscycie piosenki</t>
        </is>
      </c>
      <c r="G27" s="68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68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68" t="n">
        <v>2028</v>
      </c>
    </row>
    <row r="29" ht="15" customHeight="1" s="45">
      <c r="A29" s="54" t="inlineStr">
        <is>
          <t>Razem koszty twarde</t>
        </is>
      </c>
      <c r="D29" s="47">
        <f>SUM(D18:D28)</f>
        <v/>
      </c>
    </row>
    <row r="30" ht="15" customHeight="1" s="45">
      <c r="A30" s="47" t="n"/>
    </row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Wyjaśnienia!$B$56+Wyjaśnienia!$B$57</f>
        <v/>
      </c>
    </row>
    <row r="33" ht="15" customHeight="1" s="45">
      <c r="A33" s="47" t="inlineStr">
        <is>
          <t>Praca organizatora</t>
        </is>
      </c>
      <c r="D33" s="52">
        <f>E14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(D33+D34)*Wyjaśnienia!$B$65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D36*Wyjaśnienia!$B$35</f>
        <v/>
      </c>
    </row>
    <row r="38" ht="15" customHeight="1" s="45">
      <c r="A38" s="54" t="inlineStr">
        <is>
          <t>DO ZAPŁATY BRUTTO - ta liczba trafia na fakturę</t>
        </is>
      </c>
      <c r="D38" s="55">
        <f>D36+D37</f>
        <v/>
      </c>
    </row>
    <row r="40" ht="15" customHeight="1" s="45">
      <c r="A40" s="54" t="inlineStr">
        <is>
          <t>POZA ZAKRESEM PYTANIA DO MKiDN</t>
        </is>
      </c>
    </row>
    <row r="41" ht="15" customHeight="1" s="45">
      <c r="A41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2" ht="15" customHeight="1" s="45">
      <c r="A42" s="54" t="inlineStr">
        <is>
          <t>Pozycja</t>
        </is>
      </c>
      <c r="B42" s="54" t="inlineStr">
        <is>
          <t>Cena jednostkowa</t>
        </is>
      </c>
      <c r="C42" s="54" t="inlineStr">
        <is>
          <t>Ilość</t>
        </is>
      </c>
      <c r="D42" s="54" t="inlineStr">
        <is>
          <t>Kwota</t>
        </is>
      </c>
      <c r="E42" s="54" t="inlineStr">
        <is>
          <t>Uwagi</t>
        </is>
      </c>
      <c r="G42" s="54" t="inlineStr">
        <is>
          <t>Rok kosztu</t>
        </is>
      </c>
    </row>
    <row r="43" ht="15" customHeight="1" s="45">
      <c r="A43" s="47" t="inlineStr">
        <is>
          <t>Realizacja wernisażu i wystawy w galerii sztuki (netto)</t>
        </is>
      </c>
      <c r="B43" s="52" t="n">
        <v>0</v>
      </c>
      <c r="C43" s="68" t="n">
        <v>1</v>
      </c>
      <c r="D43" s="52">
        <f>B43*C43</f>
        <v/>
      </c>
      <c r="E43" s="47" t="inlineStr">
        <is>
          <t>DO WYCENY - zawieszenie, oświetlenie, opisy prac, obsługa wernisażu i przewóz między miejscami. Finansuje partner galerii.</t>
        </is>
      </c>
    </row>
    <row r="44" ht="15" customHeight="1" s="45">
      <c r="A44" s="47" t="inlineStr">
        <is>
          <t>Obsługa cichej licytacji oryginałów (netto)</t>
        </is>
      </c>
      <c r="B44" s="52">
        <f>Wyjaśnienia!$B$17</f>
        <v/>
      </c>
      <c r="C44" s="68" t="n">
        <v>20</v>
      </c>
      <c r="D44" s="52">
        <f>B44*C44</f>
        <v/>
      </c>
      <c r="E44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2" t="inlineStr">
        <is>
          <t>Finansuje: Sponsor Akademii. Kwoty netto. Vouchery są świadczeniem rzeczowym i rosną wprost z liczbą ocenionych rozmów.</t>
        </is>
      </c>
    </row>
    <row r="3" ht="15" customHeight="1" s="45">
      <c r="A3" s="72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2" t="inlineStr">
        <is>
          <t>Zgłoszenia rozmów do Nagrody</t>
        </is>
      </c>
      <c r="B7" s="78">
        <f>Wyjaśnienia!$B$18</f>
        <v/>
      </c>
      <c r="F7" s="72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2" t="inlineStr">
        <is>
          <t>Odczytów na jedno zgłoszenie rozmowy</t>
        </is>
      </c>
      <c r="B8" s="78">
        <f>Wyjaśnienia!$B$48</f>
        <v/>
      </c>
      <c r="F8" s="72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2" t="inlineStr">
        <is>
          <t>to jest praca, którą finansuje sponsor Akademii</t>
        </is>
      </c>
    </row>
    <row r="10" ht="54.75" customHeight="1" s="45">
      <c r="A10" s="72" t="inlineStr">
        <is>
          <t>Zgłoszenia filmów do plebiscytu</t>
        </is>
      </c>
      <c r="B10" s="78">
        <f>Wyjaśnienia!$B$68</f>
        <v/>
      </c>
      <c r="F10" s="72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2" t="inlineStr">
        <is>
          <t>Obejrzeń jednego filmu</t>
        </is>
      </c>
      <c r="B11" s="78">
        <f>Wyjaśnienia!$B$77</f>
        <v/>
      </c>
      <c r="F11" s="72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2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2" t="inlineStr">
        <is>
          <t>Honorarium podstawowe czytelników rozmów</t>
        </is>
      </c>
      <c r="B16" s="80">
        <f>Wyjaśnienia!$B$50</f>
        <v/>
      </c>
      <c r="C16" s="78">
        <f>Wyjaśnienia!$B$51</f>
        <v/>
      </c>
      <c r="D16" s="80">
        <f>B16*C16</f>
        <v/>
      </c>
      <c r="F16" s="72" t="inlineStr">
        <is>
          <t>przeniesione z Budżetu Nagrody</t>
        </is>
      </c>
      <c r="G16" s="68" t="n">
        <v>2027</v>
      </c>
    </row>
    <row r="17" ht="15" customHeight="1" s="45">
      <c r="A17" s="72" t="inlineStr">
        <is>
          <t>Vouchery za oceniane rozmowy</t>
        </is>
      </c>
      <c r="B17" s="80">
        <f>Wyjaśnienia!$B$49</f>
        <v/>
      </c>
      <c r="C17" s="78">
        <f>ROUNDUP(B9/100,0)</f>
        <v/>
      </c>
      <c r="D17" s="80">
        <f>B17*C17</f>
        <v/>
      </c>
      <c r="F17" s="72" t="inlineStr">
        <is>
          <t>jeden voucher za każde rozpoczęte 100 odczytów</t>
        </is>
      </c>
      <c r="G17" s="68" t="n">
        <v>2027</v>
      </c>
    </row>
    <row r="18" ht="41.25" customHeight="1" s="45">
      <c r="A18" s="72" t="inlineStr">
        <is>
          <t>Honorarium oceniających filmy, za jedno obejrzenie</t>
        </is>
      </c>
      <c r="B18" s="80">
        <f>Wyjaśnienia!$B$78</f>
        <v/>
      </c>
      <c r="C18" s="78">
        <f>B12</f>
        <v/>
      </c>
      <c r="D18" s="80">
        <f>B18*C18</f>
        <v/>
      </c>
      <c r="F18" s="72" t="inlineStr">
        <is>
          <t>300 zł za obejrzenie z wypełnieniem karty oceny, czyli około 150 zł za godzinę. Ustalenie z 26.10.2026; kwota rośnie wprost z liczbą zgłoszonych filmów.</t>
        </is>
      </c>
      <c r="G18" s="68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2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2" t="inlineStr">
        <is>
          <t>ewidencja, PIT-11 dla czytelników, korespondencja</t>
        </is>
      </c>
      <c r="G23" s="68" t="n">
        <v>2027</v>
      </c>
    </row>
    <row r="24" ht="27.75" customHeight="1" s="45">
      <c r="A24" s="72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2" t="inlineStr">
        <is>
          <t>trzy rozmowy kotwiczne, instrukcja, spotkanie wprowadzające</t>
        </is>
      </c>
      <c r="G24" s="68" t="n">
        <v>2027</v>
      </c>
    </row>
    <row r="25" ht="54.75" customHeight="1" s="45">
      <c r="A25" s="72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2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68" t="n">
        <v>2027</v>
      </c>
    </row>
    <row r="26" ht="41.25" customHeight="1" s="45">
      <c r="A26" s="72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2" t="inlineStr">
        <is>
          <t>filmów nie trzymamy u siebie, ale panel musi je kolejkować, odtwarzać z kanału autora i wyłapywać odnośniki, które przestały działać</t>
        </is>
      </c>
      <c r="G26" s="68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2" t="inlineStr">
        <is>
          <t>Wynagrodzenie oceniających</t>
        </is>
      </c>
      <c r="D30" s="80">
        <f>D19</f>
        <v/>
      </c>
    </row>
    <row r="31" ht="15" customHeight="1" s="45">
      <c r="A31" s="72" t="inlineStr">
        <is>
          <t>Koszty twarde</t>
        </is>
      </c>
      <c r="D31" s="80">
        <f>D27</f>
        <v/>
      </c>
    </row>
    <row r="32" ht="15" customHeight="1" s="45">
      <c r="A32" s="72" t="inlineStr">
        <is>
          <t>Rezerwa</t>
        </is>
      </c>
      <c r="D32" s="80">
        <f>(D30+D31)*Wyjaśnienia!$B$32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2" t="inlineStr">
        <is>
          <t>VAT</t>
        </is>
      </c>
      <c r="D34" s="80">
        <f>D33*Wyjaśnienia!$B$35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2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A40*Wyjaśnienia!$B$48</f>
        <v/>
      </c>
      <c r="C40" s="78">
        <f>ROUNDUP(B40/100,0)</f>
        <v/>
      </c>
      <c r="D40" s="80">
        <f>C40*Wyjaśnienia!$B$49</f>
        <v/>
      </c>
      <c r="E40" s="78">
        <f>ROUNDUP(B40*Wyjaśnienia!$B$52/60,0)</f>
        <v/>
      </c>
    </row>
    <row r="41" ht="15" customHeight="1" s="45">
      <c r="A41" s="78" t="n">
        <v>1000</v>
      </c>
      <c r="B41" s="78">
        <f>A41*Wyjaśnienia!$B$48</f>
        <v/>
      </c>
      <c r="C41" s="78">
        <f>ROUNDUP(B41/100,0)</f>
        <v/>
      </c>
      <c r="D41" s="80">
        <f>C41*Wyjaśnienia!$B$49</f>
        <v/>
      </c>
      <c r="E41" s="78">
        <f>ROUNDUP(B41*Wyjaśnienia!$B$52/60,0)</f>
        <v/>
      </c>
    </row>
    <row r="42" ht="15" customHeight="1" s="45">
      <c r="A42" s="78" t="n">
        <v>10000</v>
      </c>
      <c r="B42" s="78">
        <f>A42*Wyjaśnienia!$B$48</f>
        <v/>
      </c>
      <c r="C42" s="78">
        <f>ROUNDUP(B42/100,0)</f>
        <v/>
      </c>
      <c r="D42" s="80">
        <f>C42*Wyjaśnienia!$B$49</f>
        <v/>
      </c>
      <c r="E42" s="78">
        <f>ROUNDUP(B42*Wyjaśnienia!$B$52/60,0)</f>
        <v/>
      </c>
    </row>
    <row r="43" ht="15" customHeight="1" s="45">
      <c r="A43" s="78" t="n">
        <v>100000</v>
      </c>
      <c r="B43" s="78">
        <f>A43*Wyjaśnienia!$B$48</f>
        <v/>
      </c>
      <c r="C43" s="78">
        <f>ROUNDUP(B43/100,0)</f>
        <v/>
      </c>
      <c r="D43" s="80">
        <f>C43*Wyjaśnienia!$B$49</f>
        <v/>
      </c>
      <c r="E43" s="78">
        <f>ROUNDUP(B43*Wyjaśnienia!$B$52/60,0)</f>
        <v/>
      </c>
    </row>
    <row r="44" ht="15" customHeight="1" s="45">
      <c r="A44" s="78" t="n">
        <v>1000000</v>
      </c>
      <c r="B44" s="78">
        <f>A44*Wyjaśnienia!$B$48</f>
        <v/>
      </c>
      <c r="C44" s="78">
        <f>ROUNDUP(B44/100,0)</f>
        <v/>
      </c>
      <c r="D44" s="80">
        <f>C44*Wyjaśnienia!$B$49</f>
        <v/>
      </c>
      <c r="E44" s="78">
        <f>ROUNDUP(B44*Wyjaśnienia!$B$52/60,0)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A47*Wyjaśnienia!$B$77</f>
        <v/>
      </c>
      <c r="C47" s="80">
        <f>B47*Wyjaśnienia!$B$78</f>
        <v/>
      </c>
      <c r="D47" s="78">
        <f>B47*2</f>
        <v/>
      </c>
      <c r="E47" s="78">
        <f>ROUNDUP(B47/Wyjaśnienia!$B$79,0)</f>
        <v/>
      </c>
    </row>
    <row r="48" ht="15" customHeight="1" s="45">
      <c r="A48" s="78" t="n">
        <v>150</v>
      </c>
      <c r="B48" s="78">
        <f>A48*Wyjaśnienia!$B$77</f>
        <v/>
      </c>
      <c r="C48" s="80">
        <f>B48*Wyjaśnienia!$B$78</f>
        <v/>
      </c>
      <c r="D48" s="78">
        <f>B48*2</f>
        <v/>
      </c>
      <c r="E48" s="78">
        <f>ROUNDUP(B48/Wyjaśnienia!$B$79,0)</f>
        <v/>
      </c>
    </row>
    <row r="49" ht="15" customHeight="1" s="45">
      <c r="A49" s="78" t="n">
        <v>500</v>
      </c>
      <c r="B49" s="78">
        <f>A49*Wyjaśnienia!$B$77</f>
        <v/>
      </c>
      <c r="C49" s="80">
        <f>B49*Wyjaśnienia!$B$78</f>
        <v/>
      </c>
      <c r="D49" s="78">
        <f>B49*2</f>
        <v/>
      </c>
      <c r="E49" s="78">
        <f>ROUNDUP(B49/Wyjaśnienia!$B$79,0)</f>
        <v/>
      </c>
    </row>
    <row r="50" ht="15" customHeight="1" s="45">
      <c r="A50" s="78" t="n">
        <v>2000</v>
      </c>
      <c r="B50" s="78">
        <f>A50*Wyjaśnienia!$B$77</f>
        <v/>
      </c>
      <c r="C50" s="80">
        <f>B50*Wyjaśnienia!$B$78</f>
        <v/>
      </c>
      <c r="D50" s="78">
        <f>B50*2</f>
        <v/>
      </c>
      <c r="E50" s="78">
        <f>ROUNDUP(B50/Wyjaśnienia!$B$79,0)</f>
        <v/>
      </c>
    </row>
    <row r="51" ht="15" customHeight="1" s="45">
      <c r="A51" s="78" t="n">
        <v>10000</v>
      </c>
      <c r="B51" s="78">
        <f>A51*Wyjaśnienia!$B$77</f>
        <v/>
      </c>
      <c r="C51" s="80">
        <f>B51*Wyjaśnienia!$B$78</f>
        <v/>
      </c>
      <c r="D51" s="78">
        <f>B51*2</f>
        <v/>
      </c>
      <c r="E51" s="78">
        <f>ROUNDUP(B51/Wyjaśnienia!$B$79,0)</f>
        <v/>
      </c>
    </row>
    <row r="53" ht="27.75" customHeight="1" s="45">
      <c r="A53" s="72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 ht="27.75" customHeight="1" s="45">
      <c r="A55" s="59" t="inlineStr">
        <is>
          <t>AKADEMIA PIOSENKI I PLAKATU - PIERWSZE PRZEJŚCIE OCENY, DO USTALENIA</t>
        </is>
      </c>
    </row>
    <row r="56" ht="15" customHeight="1" s="45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 ht="15" customHeight="1" s="45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 ht="68.25" customHeight="1" s="45">
      <c r="A58" s="47" t="inlineStr">
        <is>
          <t>Honorarium oceniających piosenki, za jeden odsłuch (netto)</t>
        </is>
      </c>
      <c r="B58" s="80" t="n">
        <v>0</v>
      </c>
      <c r="C58" s="78">
        <f>Wyjaśnienia!$B$24*2</f>
        <v/>
      </c>
      <c r="D58" s="80">
        <f>B58*C58</f>
        <v/>
      </c>
      <c r="F58" s="72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68" t="n">
        <v>2027</v>
      </c>
    </row>
    <row r="59" ht="54.75" customHeight="1" s="45">
      <c r="A59" s="47" t="inlineStr">
        <is>
          <t>Honorarium oceniających plakaty, za jedną ocenę (netto)</t>
        </is>
      </c>
      <c r="B59" s="80" t="n">
        <v>0</v>
      </c>
      <c r="C59" s="78">
        <f>Wyjaśnienia!$B$55*2</f>
        <v/>
      </c>
      <c r="D59" s="80">
        <f>B59*C59</f>
        <v/>
      </c>
      <c r="F59" s="72" t="inlineStr">
        <is>
          <t>DO USTALENIA - dwie niezależne oceny na jedno zgłoszenie. Kotwica, nie decyzja: reprodukcja wraz z kartą oceny to około 10 minut pracy, czyli około 25 zł przy tej samej stawce.</t>
        </is>
      </c>
      <c r="G59" s="68" t="n">
        <v>2027</v>
      </c>
    </row>
    <row r="60" ht="27.75" customHeight="1" s="45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2" t="inlineStr">
        <is>
          <t>DO WYCENY - trzy utwory kotwiczne z rozpisaną punktacją, instrukcja i spotkanie wprowadzające.</t>
        </is>
      </c>
      <c r="G60" s="68" t="n">
        <v>2027</v>
      </c>
    </row>
    <row r="61" ht="27.75" customHeight="1" s="45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2" t="inlineStr">
        <is>
          <t>DO WYCENY - trzy prace kotwiczne z rozpisaną punktacją, instrukcja i spotkanie wprowadzające.</t>
        </is>
      </c>
      <c r="G61" s="68" t="n">
        <v>2027</v>
      </c>
    </row>
    <row r="62" ht="15" customHeight="1" s="45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Sponsor plebiscytu filmu.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68">
        <f>B7+C7*Wyjaśnienia!$B$68/60</f>
        <v/>
      </c>
      <c r="E7" s="52">
        <f>D7*Wyjaśnienia!$B$17</f>
        <v/>
      </c>
      <c r="F7" s="47" t="inlineStr">
        <is>
          <t>czas trwania, język, data ukończenia, działający odnośnik, miniatura, deklaracja, oświadczenia; 12 minut na zgłoszenie</t>
        </is>
      </c>
      <c r="G7" s="68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68">
        <f>B8+C8*Wyjaśnienia!$B$68/60</f>
        <v/>
      </c>
      <c r="E8" s="52">
        <f>D8*Wyjaśnienia!$B$17</f>
        <v/>
      </c>
      <c r="F8" s="47" t="inlineStr">
        <is>
          <t>regulamin § 3a: film powstaje na potrzeby plebiscytu, więc sprawdzamy datę publikacji i publicznie dostępne wyniki konkursów</t>
        </is>
      </c>
      <c r="G8" s="68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68">
        <f>B9+C9*Wyjaśnienia!$B$68/60</f>
        <v/>
      </c>
      <c r="E9" s="52">
        <f>D9*Wyjaśnienia!$B$17</f>
        <v/>
      </c>
      <c r="F9" s="47" t="inlineStr">
        <is>
          <t>dwa przejścia oceny, dziesięciu finalistów, kolejność całej dziesiątki</t>
        </is>
      </c>
      <c r="G9" s="68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68">
        <f>B10+C10*Wyjaśnienia!$B$68/60</f>
        <v/>
      </c>
      <c r="E10" s="52">
        <f>D10*Wyjaśnienia!$B$17</f>
        <v/>
      </c>
      <c r="F10" s="47" t="inlineStr">
        <is>
          <t>ukryte liczniki, ogłoszenie na gali</t>
        </is>
      </c>
      <c r="G10" s="68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68">
        <f>B11+C11*Wyjaśnienia!$B$68/60</f>
        <v/>
      </c>
      <c r="E11" s="52">
        <f>D11*Wyjaśnienia!$B$17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68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68">
        <f>B12+C12*Wyjaśnienia!$B$68/60</f>
        <v/>
      </c>
      <c r="E12" s="52">
        <f>D12*Wyjaśnienia!$B$17</f>
        <v/>
      </c>
      <c r="F12" s="47" t="inlineStr">
        <is>
          <t>regulamin § 10 ust. 4: termin i miejsce ogłaszane najpóźniej w dniu gali, udział za zgodą autora</t>
        </is>
      </c>
      <c r="G12" s="68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68">
        <f>B13+C13*Wyjaśnienia!$B$68/60</f>
        <v/>
      </c>
      <c r="E13" s="52">
        <f>D13*Wyjaśnienia!$B$17</f>
        <v/>
      </c>
      <c r="F13" s="47" t="inlineStr">
        <is>
          <t>wpisy po ocenie formalnej, oznaczanie odnośników, które przestały działać</t>
        </is>
      </c>
      <c r="G13" s="68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68">
        <f>B14+C14*Wyjaśnienia!$B$68/60</f>
        <v/>
      </c>
      <c r="E14" s="52">
        <f>D14*Wyjaśnienia!$B$17</f>
        <v/>
      </c>
      <c r="F14" s="47" t="inlineStr">
        <is>
          <t>PWSFTviT, wydziały filmowe, festiwale krótkiego metrażu, domy kultury</t>
        </is>
      </c>
      <c r="G14" s="68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Wyjaśnienia!$B$69</f>
        <v/>
      </c>
      <c r="C19" s="68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68" t="n">
        <v>2028</v>
      </c>
    </row>
    <row r="20" ht="15" customHeight="1" s="45">
      <c r="A20" s="47" t="inlineStr">
        <is>
          <t>Nagrody publiczności (brutto)</t>
        </is>
      </c>
      <c r="B20" s="52">
        <f>Wyjaśnienia!$B$70</f>
        <v/>
      </c>
      <c r="C20" s="68" t="n">
        <v>1</v>
      </c>
      <c r="D20" s="52">
        <f>B20*C20</f>
        <v/>
      </c>
      <c r="E20" s="47" t="inlineStr">
        <is>
          <t>10 000 zł dla zgłoszenia z największą liczbą głosów oraz 2 000 zł za najlepsze uzasadnienie oddanego głosu</t>
        </is>
      </c>
      <c r="G20" s="68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Wyjaśnienia!$B$71</f>
        <v/>
      </c>
      <c r="C21" s="68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68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68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68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68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68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68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68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68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68" t="n">
        <v>2028</v>
      </c>
    </row>
    <row r="26" ht="15" customHeight="1" s="45">
      <c r="A26" s="47" t="inlineStr">
        <is>
          <t>Dojazd i nocleg finalistów na galę (netto)</t>
        </is>
      </c>
      <c r="B26" s="52" t="n">
        <v>0</v>
      </c>
      <c r="C26" s="68" t="n">
        <v>1</v>
      </c>
      <c r="D26" s="52">
        <f>B26*C26</f>
        <v/>
      </c>
      <c r="E26" s="47" t="inlineStr">
        <is>
          <t>DO WYCENY - jak przy plebiscycie piosenki; dziesięciu finalistów, często z ekipą</t>
        </is>
      </c>
      <c r="G26" s="68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68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68" t="n">
        <v>2027</v>
      </c>
    </row>
    <row r="28" ht="15" customHeight="1" s="45">
      <c r="A28" s="54" t="inlineStr">
        <is>
          <t>Razem koszty twarde</t>
        </is>
      </c>
      <c r="B28" s="52" t="n"/>
      <c r="C28" s="68" t="n"/>
      <c r="D28" s="55">
        <f>SUM(D19:D27)</f>
        <v/>
      </c>
    </row>
    <row r="29" ht="15" customHeight="1" s="45"/>
    <row r="30" ht="15" customHeight="1" s="45">
      <c r="A30" s="54" t="inlineStr">
        <is>
          <t>PODSUMOWANIE</t>
        </is>
      </c>
    </row>
    <row r="31" ht="15" customHeight="1" s="45">
      <c r="A31" s="47" t="inlineStr">
        <is>
          <t>Nagrody (brutto dla laureatów, bez VAT)</t>
        </is>
      </c>
      <c r="D31" s="52">
        <f>Wyjaśnienia!$B$69+Wyjaśnienia!$B$70</f>
        <v/>
      </c>
    </row>
    <row r="32" ht="15" customHeight="1" s="45">
      <c r="A32" s="47" t="inlineStr">
        <is>
          <t>Praca organizatora</t>
        </is>
      </c>
      <c r="D32" s="52">
        <f>E15</f>
        <v/>
      </c>
    </row>
    <row r="33" ht="15" customHeight="1" s="45">
      <c r="A33" s="47" t="inlineStr">
        <is>
          <t>Koszty twarde bez nagród</t>
        </is>
      </c>
      <c r="D33" s="52">
        <f>D28-D31</f>
        <v/>
      </c>
    </row>
    <row r="34" ht="15" customHeight="1" s="45">
      <c r="A34" s="47" t="inlineStr">
        <is>
          <t>Rezerwa (od pracy i kosztów, bez nagród)</t>
        </is>
      </c>
      <c r="D34" s="52">
        <f>(D32+D33)*Wyjaśnienia!$B$76</f>
        <v/>
      </c>
    </row>
    <row r="35" ht="15" customHeight="1" s="45">
      <c r="A35" s="54" t="inlineStr">
        <is>
          <t>RAZEM NETTO</t>
        </is>
      </c>
      <c r="D35" s="55">
        <f>SUM(D31:D34)</f>
        <v/>
      </c>
    </row>
    <row r="36" ht="15" customHeight="1" s="45">
      <c r="A36" s="47" t="inlineStr">
        <is>
          <t>VAT</t>
        </is>
      </c>
      <c r="D36" s="52">
        <f>D35*Wyjaśnienia!$B$35</f>
        <v/>
      </c>
    </row>
    <row r="37" ht="15" customHeight="1" s="45">
      <c r="A37" s="54" t="inlineStr">
        <is>
          <t>DO ZAPŁATY BRUTTO - ta liczba trafia na fakturę</t>
        </is>
      </c>
      <c r="D37" s="55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Gali - gala rozstrzygnięcia pierwszej edycji</t>
        </is>
      </c>
      <c r="H1" s="47" t="n"/>
    </row>
    <row r="2" ht="15" customHeight="1" s="45">
      <c r="A2" s="48" t="inlineStr">
        <is>
          <t>Finansuje: Sponsor gali.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z koordynatorem po stronie B jest mniej</t>
        </is>
      </c>
      <c r="G7" s="68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9">
        <f>SUM(D7:D7)</f>
        <v/>
      </c>
      <c r="E8" s="53">
        <f>SUM(E7:E7)</f>
        <v/>
      </c>
      <c r="F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H9" s="47" t="n"/>
    </row>
    <row r="10" ht="15" customHeight="1" s="45">
      <c r="A10" s="49" t="inlineStr">
        <is>
          <t>KOSZTY TWARDE</t>
        </is>
      </c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70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68" t="n">
        <v>2028</v>
      </c>
      <c r="H12" s="47" t="n"/>
    </row>
    <row r="13" ht="15" customHeight="1" s="45">
      <c r="A13" s="64" t="inlineStr">
        <is>
          <t>Fotograf na gali</t>
        </is>
      </c>
      <c r="B13" s="70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68" t="n">
        <v>2028</v>
      </c>
      <c r="H13" s="47" t="n"/>
    </row>
    <row r="14" ht="15" customHeight="1" s="45">
      <c r="A14" s="64" t="inlineStr">
        <is>
          <t>Przejazdy i noclegi jury</t>
        </is>
      </c>
      <c r="B14" s="70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68" t="n">
        <v>2028</v>
      </c>
      <c r="H14" s="47" t="n"/>
    </row>
    <row r="15" ht="15" customHeight="1" s="45">
      <c r="A15" s="64" t="inlineStr">
        <is>
          <t>Przejazdy i noclegi finalistów na galę</t>
        </is>
      </c>
      <c r="B15" s="70" t="n">
        <v>8000</v>
      </c>
      <c r="C15" s="65" t="n">
        <v>1</v>
      </c>
      <c r="D15" s="67">
        <f>B15*C15</f>
        <v/>
      </c>
      <c r="E15" s="57" t="inlineStr">
        <is>
          <t>dziesięć osób, przejazd i nocleg</t>
        </is>
      </c>
      <c r="F15" s="47" t="n"/>
      <c r="G15" s="68" t="n">
        <v>2028</v>
      </c>
      <c r="H15" s="47" t="n"/>
    </row>
    <row r="16" ht="15" customHeight="1" s="45">
      <c r="A16" s="64" t="inlineStr">
        <is>
          <t>Oprawa artystyczna gali</t>
        </is>
      </c>
      <c r="B16" s="70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68" t="n">
        <v>2028</v>
      </c>
    </row>
    <row r="17" ht="15" customHeight="1" s="45">
      <c r="A17" s="64" t="inlineStr">
        <is>
          <t>Rejestracja wideo i udostępnienie zapisu</t>
        </is>
      </c>
      <c r="B17" s="70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68" t="n">
        <v>2028</v>
      </c>
    </row>
    <row r="18" ht="15" customHeight="1" s="45">
      <c r="A18" s="64" t="inlineStr">
        <is>
          <t>Prowadzenie gali</t>
        </is>
      </c>
      <c r="B18" s="70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68" t="n">
        <v>2028</v>
      </c>
    </row>
    <row r="19" ht="15" customHeight="1" s="45">
      <c r="A19" s="64" t="inlineStr">
        <is>
          <t>Tantiemy dla organizacji zbiorowego zarządzania</t>
        </is>
      </c>
      <c r="B19" s="70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68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H20" s="47" t="n"/>
    </row>
    <row r="21" ht="15" customHeight="1" s="45">
      <c r="A21" s="47" t="n"/>
      <c r="H21" s="47" t="n"/>
    </row>
    <row r="22" ht="15" customHeight="1" s="45">
      <c r="A22" s="49" t="inlineStr">
        <is>
          <t>PODSUMOWANIE</t>
        </is>
      </c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(D23+D24)*Wyjaśnienia!$B$32</f>
        <v/>
      </c>
      <c r="E25" s="47" t="n"/>
      <c r="F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D26*Wyjaśnienia!$B$35</f>
        <v/>
      </c>
      <c r="E27" s="47" t="n"/>
      <c r="F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1">
        <f>D26+D27</f>
        <v/>
      </c>
      <c r="E28" s="47" t="n"/>
      <c r="F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2026-10-30T18:31:26Z</dcterms:modified>
  <cp:revision>0</cp:revision>
</cp:coreProperties>
</file>