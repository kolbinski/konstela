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<sst xmlns="http://schemas.openxmlformats.org/spreadsheetml/2006/main" count="537" uniqueCount="380">
  <si>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</si>
  <si>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</si>
  <si>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</si>
  <si>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</si>
  <si>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</si>
  <si>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</si>
  <si>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</si>
  <si>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</si>
  <si>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</si>
  <si>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</si>
  <si>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</si>
  <si>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</si>
  <si>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</si>
  <si>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</si>
  <si>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</si>
  <si>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</si>
  <si>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</si>
  <si>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</si>
  <si>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</si>
  <si>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</si>
  <si>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</si>
  <si>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</si>
  <si>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</si>
  <si>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</si>
  <si>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</si>
  <si>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</si>
  <si>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</si>
  <si>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</si>
  <si>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</si>
  <si>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</si>
  <si>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</si>
  <si>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</si>
  <si>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</si>
  <si>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</si>
  <si>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</si>
  <si>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</si>
  <si>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</si>
  <si>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</si>
  <si>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</si>
  <si>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</si>
  <si>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</si>
  <si>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</si>
  <si>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za najlepsze uzasadnienie wyboru. Uzasadnienie jest obowiązkowe przy każdym głosie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</si>
  <si>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</si>
  <si>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</si>
  <si>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</si>
  <si>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</si>
  <si>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</si>
  <si>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</si>
  <si>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</si>
  <si>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</si>
  <si>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</si>
  <si>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</si>
  <si>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</si>
  <si>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</si>
  <si>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</si>
  <si>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</si>
  <si>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</si>
  <si>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</si>
  <si>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</si>
  <si>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</si>
  <si>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</si>
  <si>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</si>
  <si>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</si>
  <si>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</si>
  <si>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</si>
  <si>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</si>
  <si>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</si>
  <si>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</si>
  <si>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</si>
  <si>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</si>
  <si>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</si>
  <si>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</si>
  <si>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</si>
  <si>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</si>
  <si>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</si>
  <si>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</si>
  <si>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</si>
  <si>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</si>
  <si>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</si>
  <si>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</si>
  <si>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</si>
  <si>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za najlepsze uzasadnienie wyboru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</si>
  <si>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</si>
  <si>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</si>
  <si>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</si>
  <si>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</si>
  <si>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</si>
  <si>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</si>
  <si>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</si>
  <si>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</si>
  <si>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</si>
  <si>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</si>
  <si>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</si>
  <si>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</si>
  <si>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</si>
  <si>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</si>
  <si>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</si>
  <si>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</si>
  <si>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</si>
  <si>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</si>
  <si>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</si>
  <si>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</si>
  <si>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za najlepsze uzasadnienie wyboru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</si>
  <si>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</si>
  <si>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</si>
  <si>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</si>
  <si>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</si>
  <si>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</si>
  <si>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</si>
  <si>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</si>
  <si>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</si>
  <si>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</si>
  <si>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</si>
  <si>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</si>
  <si>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</si>
  <si>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</si>
  <si>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</si>
  <si>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</si>
  <si>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</si>
  <si>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</si>
  <si>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</si>
  <si>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</si>
  <si>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</si>
  <si>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</si>
  <si>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</si>
  <si>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</si>
  <si>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</si>
  <si>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</si>
  <si>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</si>
  <si>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</si>
  <si>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</si>
  <si>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</si>
  <si>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</si>
  <si>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</si>
  <si>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</si>
  <si>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</si>
  <si>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</si>
  <si>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</si>
  <si>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</si>
  <si>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</si>
  <si>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</si>
  <si>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</si>
  <si>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</si>
  <si>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</si>
  <si>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</si>
  <si>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</si>
  <si>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</si>
  <si>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</si>
  <si>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</si>
  <si>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</si>
  <si>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</si>
  <si>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</si>
  <si>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</si>
  <si>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</si>
  <si>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</si>
  <si>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</si>
  <si>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</si>
  <si>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</si>
  <si>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</si>
  <si>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</si>
  <si>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</si>
  <si>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</si>
  <si>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</si>
  <si>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</si>
  <si>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</si>
  <si>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3 000 zł dla zgłoszenia z największą liczbą głosów oraz 1 000 zł za najlepsze uzasadnienie wyboru (§ 11 ust. 8a)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</si>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</sst>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535996.8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154480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256800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Gali'!$D$26+'Budżet Antologii'!$D$38+'Budżet Plebiscytu'!$D$32+'Budżet Plakatu'!$D$34+'Budżet Akademii'!$D$33+'Budżet Filmu'!$D$34</f>
        <v>1689626.8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4000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4000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4000</v>
      </c>
      <c r="C26" s="22" t="n">
        <v>1</v>
      </c>
      <c r="D26" s="24" t="n">
        <f aca="false">B26*C26</f>
        <v>4000</v>
      </c>
      <c r="E26" s="15" t="s">
        <v>166</v>
      </c>
      <c r="F26" s="3"/>
    </row>
    <row r="27" customFormat="false" ht="15" hidden="false" customHeight="true" outlineLevel="0" collapsed="false">
      <c r="A27" s="21" t="s">
        <v>167</v>
      </c>
      <c r="B27" s="26" t="n">
        <v>0</v>
      </c>
      <c r="C27" s="22" t="n">
        <v>1</v>
      </c>
      <c r="D27" s="24" t="n">
        <f aca="false">B27*C27</f>
        <v>0</v>
      </c>
      <c r="E27" s="15" t="s">
        <v>168</v>
      </c>
      <c r="F27" s="3"/>
      <c r="G27" s="3"/>
      <c r="H27" s="3"/>
    </row>
    <row r="28" customFormat="false" ht="15" hidden="false" customHeight="true" outlineLevel="0" collapsed="false">
      <c r="A28" s="6" t="s">
        <v>169</v>
      </c>
      <c r="B28" s="3"/>
      <c r="C28" s="3"/>
      <c r="D28" s="9" t="n">
        <f aca="false">SUM(D21:D27)</f>
        <v>53950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170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171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172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173</v>
      </c>
      <c r="B33" s="3"/>
      <c r="C33" s="3"/>
      <c r="D33" s="8" t="n">
        <f aca="false">D28</f>
        <v>53950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174</v>
      </c>
      <c r="D34" s="3" t="n">
        <f aca="false">(D32+D33)*Wyjaśnienia!$B$30</f>
        <v>15106.8</v>
      </c>
      <c r="G34" s="3"/>
      <c r="H34" s="3"/>
    </row>
    <row r="35" customFormat="false" ht="15" hidden="false" customHeight="true" outlineLevel="0" collapsed="false">
      <c r="A35" s="6" t="s">
        <v>175</v>
      </c>
      <c r="B35" s="3"/>
      <c r="C35" s="3"/>
      <c r="D35" s="9" t="n">
        <f aca="false">SUM(D31:D34)</f>
        <v>535996.8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176</v>
      </c>
      <c r="B36" s="3"/>
      <c r="C36" s="3"/>
      <c r="D36" s="8" t="n">
        <f aca="false">D35*Wyjaśnienia!$B$33</f>
        <v>123279.264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177</v>
      </c>
      <c r="B37" s="3"/>
      <c r="C37" s="3"/>
      <c r="D37" s="27" t="n">
        <f aca="false">D35+D36</f>
        <v>659276.064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179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180</v>
      </c>
      <c r="G7" s="3"/>
      <c r="H7" s="3"/>
    </row>
    <row r="8" customFormat="false" ht="15" hidden="false" customHeight="true" outlineLevel="0" collapsed="false">
      <c r="A8" s="21" t="s">
        <v>181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182</v>
      </c>
      <c r="G8" s="3"/>
      <c r="H8" s="3"/>
    </row>
    <row r="9" customFormat="false" ht="15" hidden="false" customHeight="true" outlineLevel="0" collapsed="false">
      <c r="A9" s="21" t="s">
        <v>183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184</v>
      </c>
      <c r="G9" s="3"/>
      <c r="H9" s="3"/>
    </row>
    <row r="10" customFormat="false" ht="15" hidden="false" customHeight="true" outlineLevel="0" collapsed="false">
      <c r="A10" s="21" t="s">
        <v>185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186</v>
      </c>
      <c r="G10" s="3"/>
      <c r="H10" s="3"/>
    </row>
    <row r="11" customFormat="false" ht="15" hidden="false" customHeight="true" outlineLevel="0" collapsed="false">
      <c r="A11" s="21" t="s">
        <v>187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188</v>
      </c>
      <c r="G11" s="3"/>
      <c r="H11" s="3"/>
    </row>
    <row r="12" customFormat="false" ht="15" hidden="false" customHeight="true" outlineLevel="0" collapsed="false">
      <c r="A12" s="21" t="s">
        <v>189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190</v>
      </c>
      <c r="G12" s="3"/>
      <c r="H12" s="3"/>
    </row>
    <row r="13" customFormat="false" ht="15" hidden="false" customHeight="true" outlineLevel="0" collapsed="false">
      <c r="A13" s="21" t="s">
        <v>191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192</v>
      </c>
      <c r="G13" s="3"/>
      <c r="H13" s="3"/>
    </row>
    <row r="14" customFormat="false" ht="15" hidden="false" customHeight="true" outlineLevel="0" collapsed="false">
      <c r="A14" s="21" t="s">
        <v>193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194</v>
      </c>
      <c r="B19" s="26" t="n">
        <v>3000</v>
      </c>
      <c r="C19" s="22" t="n">
        <v>1</v>
      </c>
      <c r="D19" s="24" t="n">
        <f aca="false">B19*C19</f>
        <v>3000</v>
      </c>
      <c r="E19" s="15" t="s">
        <v>195</v>
      </c>
      <c r="F19" s="3"/>
      <c r="G19" s="3"/>
      <c r="H19" s="3"/>
    </row>
    <row r="20" customFormat="false" ht="15" hidden="false" customHeight="true" outlineLevel="0" collapsed="false">
      <c r="A20" s="21" t="s">
        <v>196</v>
      </c>
      <c r="B20" s="26" t="n">
        <v>6000</v>
      </c>
      <c r="C20" s="22" t="n">
        <v>1</v>
      </c>
      <c r="D20" s="24" t="n">
        <f aca="false">B20*C20</f>
        <v>6000</v>
      </c>
      <c r="E20" s="15" t="s">
        <v>197</v>
      </c>
      <c r="F20" s="3" t="s">
        <v>198</v>
      </c>
      <c r="G20" s="3"/>
      <c r="H20" s="3"/>
    </row>
    <row r="21" customFormat="false" ht="15" hidden="false" customHeight="true" outlineLevel="0" collapsed="false">
      <c r="A21" s="21" t="s">
        <v>199</v>
      </c>
      <c r="B21" s="26" t="n">
        <v>10000</v>
      </c>
      <c r="C21" s="22" t="n">
        <v>1</v>
      </c>
      <c r="D21" s="24" t="n">
        <f aca="false">B21*C21</f>
        <v>10000</v>
      </c>
      <c r="E21" s="15" t="s">
        <v>200</v>
      </c>
      <c r="F21" s="3"/>
      <c r="G21" s="3"/>
      <c r="H21" s="3"/>
    </row>
    <row r="22" customFormat="false" ht="15" hidden="false" customHeight="true" outlineLevel="0" collapsed="false">
      <c r="A22" s="21" t="s">
        <v>201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202</v>
      </c>
      <c r="F22" s="3"/>
      <c r="G22" s="3"/>
      <c r="H22" s="3"/>
    </row>
    <row r="23" customFormat="false" ht="15" hidden="false" customHeight="true" outlineLevel="0" collapsed="false">
      <c r="A23" s="21" t="s">
        <v>203</v>
      </c>
      <c r="B23" s="26" t="n">
        <v>4000</v>
      </c>
      <c r="C23" s="22" t="n">
        <v>1</v>
      </c>
      <c r="D23" s="24" t="n">
        <f aca="false">B23*C23</f>
        <v>4000</v>
      </c>
      <c r="E23" s="15" t="s">
        <v>204</v>
      </c>
      <c r="F23" s="3"/>
      <c r="G23" s="3"/>
      <c r="H23" s="3"/>
    </row>
    <row r="24" customFormat="false" ht="15" hidden="false" customHeight="true" outlineLevel="0" collapsed="false">
      <c r="A24" s="21" t="s">
        <v>205</v>
      </c>
      <c r="B24" s="26" t="n">
        <v>3000</v>
      </c>
      <c r="C24" s="22" t="n">
        <v>1</v>
      </c>
      <c r="D24" s="24" t="n">
        <f aca="false">B24*C24</f>
        <v>3000</v>
      </c>
      <c r="E24" s="15" t="s">
        <v>206</v>
      </c>
      <c r="F24" s="3"/>
      <c r="G24" s="3"/>
      <c r="H24" s="3"/>
    </row>
    <row r="25" customFormat="false" ht="15" hidden="false" customHeight="true" outlineLevel="0" collapsed="false">
      <c r="A25" s="21" t="s">
        <v>207</v>
      </c>
      <c r="B25" s="26" t="n">
        <v>4000</v>
      </c>
      <c r="C25" s="22" t="n">
        <v>1</v>
      </c>
      <c r="D25" s="24" t="n">
        <f aca="false">B25*C25</f>
        <v>4000</v>
      </c>
      <c r="E25" s="15" t="s">
        <v>208</v>
      </c>
      <c r="F25" s="3"/>
      <c r="G25" s="3"/>
      <c r="H25" s="3"/>
    </row>
    <row r="26" customFormat="false" ht="15" hidden="false" customHeight="true" outlineLevel="0" collapsed="false">
      <c r="A26" s="21" t="s">
        <v>209</v>
      </c>
      <c r="B26" s="26" t="n">
        <v>0</v>
      </c>
      <c r="C26" s="22" t="n">
        <v>1</v>
      </c>
      <c r="D26" s="24" t="n">
        <f aca="false">B26*C26</f>
        <v>0</v>
      </c>
      <c r="E26" s="15" t="s">
        <v>210</v>
      </c>
      <c r="F26" s="3"/>
      <c r="G26" s="3"/>
      <c r="H26" s="3"/>
    </row>
    <row r="27" customFormat="false" ht="15" hidden="false" customHeight="true" outlineLevel="0" collapsed="false">
      <c r="A27" s="21" t="s">
        <v>211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212</v>
      </c>
      <c r="F27" s="3"/>
      <c r="G27" s="3"/>
      <c r="H27" s="3"/>
    </row>
    <row r="28" customFormat="false" ht="15" hidden="false" customHeight="true" outlineLevel="0" collapsed="false">
      <c r="A28" s="21" t="s">
        <v>213</v>
      </c>
      <c r="B28" s="26" t="n">
        <v>6000</v>
      </c>
      <c r="C28" s="22" t="n">
        <v>1</v>
      </c>
      <c r="D28" s="24" t="n">
        <f aca="false">B28*C28</f>
        <v>6000</v>
      </c>
      <c r="E28" s="15" t="s">
        <v>214</v>
      </c>
      <c r="F28" s="3"/>
      <c r="G28" s="3"/>
      <c r="H28" s="3"/>
    </row>
    <row r="29" customFormat="false" ht="15" hidden="false" customHeight="true" outlineLevel="0" collapsed="false">
      <c r="A29" s="21" t="s">
        <v>215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216</v>
      </c>
      <c r="F29" s="3"/>
      <c r="G29" s="3"/>
      <c r="H29" s="3"/>
    </row>
    <row r="30" customFormat="false" ht="15" hidden="false" customHeight="true" outlineLevel="0" collapsed="false">
      <c r="A30" s="28" t="s">
        <v>217</v>
      </c>
      <c r="B30" s="18" t="n">
        <v>4500</v>
      </c>
      <c r="C30" s="29" t="n">
        <v>1</v>
      </c>
      <c r="D30" s="8" t="n">
        <f aca="false">B30*C30</f>
        <v>4500</v>
      </c>
      <c r="F30" s="28" t="s">
        <v>218</v>
      </c>
    </row>
    <row r="31" customFormat="false" ht="15" hidden="false" customHeight="true" outlineLevel="0" collapsed="false">
      <c r="A31" s="28" t="s">
        <v>219</v>
      </c>
      <c r="B31" s="18" t="n">
        <v>0</v>
      </c>
      <c r="C31" s="29" t="n">
        <v>1</v>
      </c>
      <c r="D31" s="8" t="n">
        <f aca="false">B31*C31</f>
        <v>0</v>
      </c>
      <c r="E31" s="1" t="s">
        <v>220</v>
      </c>
      <c r="F31" s="28"/>
    </row>
    <row r="32" customFormat="false" ht="15" hidden="false" customHeight="true" outlineLevel="0" collapsed="false">
      <c r="A32" s="6" t="s">
        <v>169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170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172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173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221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175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176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177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223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224</v>
      </c>
      <c r="G7" s="3"/>
      <c r="H7" s="3"/>
    </row>
    <row r="8" customFormat="false" ht="15" hidden="false" customHeight="true" outlineLevel="0" collapsed="false">
      <c r="A8" s="21" t="s">
        <v>225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226</v>
      </c>
      <c r="G8" s="3"/>
      <c r="H8" s="3"/>
    </row>
    <row r="9" customFormat="false" ht="15" hidden="false" customHeight="true" outlineLevel="0" collapsed="false">
      <c r="A9" s="21" t="s">
        <v>227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228</v>
      </c>
      <c r="G9" s="3"/>
      <c r="H9" s="3"/>
    </row>
    <row r="10" customFormat="false" ht="15" hidden="false" customHeight="true" outlineLevel="0" collapsed="false">
      <c r="A10" s="21" t="s">
        <v>229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230</v>
      </c>
      <c r="G10" s="3"/>
      <c r="H10" s="3"/>
    </row>
    <row r="11" customFormat="false" ht="15" hidden="false" customHeight="true" outlineLevel="0" collapsed="false">
      <c r="A11" s="21" t="s">
        <v>231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232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233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234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235</v>
      </c>
      <c r="F16" s="3"/>
      <c r="G16" s="3"/>
      <c r="H16" s="3"/>
    </row>
    <row r="17" customFormat="false" ht="15" hidden="false" customHeight="true" outlineLevel="0" collapsed="false">
      <c r="A17" s="21" t="s">
        <v>165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169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170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171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172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174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176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177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229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233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4000</v>
      </c>
      <c r="C19" s="32" t="n">
        <v>1</v>
      </c>
      <c r="D19" s="8" t="n">
        <f aca="false">B19*C19</f>
        <v>4000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169</v>
      </c>
      <c r="D27" s="11" t="n">
        <f aca="false">SUM(D18:D26)</f>
        <v>106200</v>
      </c>
    </row>
    <row r="29" customFormat="false" ht="15" hidden="false" customHeight="true" outlineLevel="0" collapsed="false">
      <c r="A29" s="31" t="s">
        <v>170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171</v>
      </c>
      <c r="D30" s="8" t="n">
        <f aca="false">Wyjaśnienia!$B$54+Wyjaśnienia!$B$55</f>
        <v>94000</v>
      </c>
    </row>
    <row r="31" customFormat="false" ht="15" hidden="false" customHeight="true" outlineLevel="0" collapsed="false">
      <c r="A31" s="3" t="s">
        <v>172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174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175</v>
      </c>
      <c r="D34" s="11" t="n">
        <f aca="false">SUM(D30:D33)</f>
        <v>154480</v>
      </c>
    </row>
    <row r="35" customFormat="false" ht="15" hidden="false" customHeight="true" outlineLevel="0" collapsed="false">
      <c r="A35" s="3" t="s">
        <v>176</v>
      </c>
      <c r="D35" s="8" t="n">
        <f aca="false">D34*Wyjaśnienia!$B$33</f>
        <v>35530.4</v>
      </c>
    </row>
    <row r="36" customFormat="false" ht="15" hidden="false" customHeight="true" outlineLevel="0" collapsed="false">
      <c r="A36" s="10" t="s">
        <v>177</v>
      </c>
      <c r="D36" s="11" t="n">
        <f aca="false">D34+D35</f>
        <v>190010.4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169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170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173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175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176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177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229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4000</v>
      </c>
      <c r="C20" s="32" t="n">
        <v>1</v>
      </c>
      <c r="D20" s="8" t="n">
        <f aca="false">B20*C20</f>
        <v>4000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169</v>
      </c>
      <c r="B27" s="8"/>
      <c r="C27" s="32"/>
      <c r="D27" s="11" t="n">
        <f aca="false">SUM(D19:D26)</f>
        <v>185200</v>
      </c>
    </row>
    <row r="29" customFormat="false" ht="15" hidden="false" customHeight="true" outlineLevel="0" collapsed="false">
      <c r="A29" s="31" t="s">
        <v>170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171</v>
      </c>
      <c r="D30" s="8" t="n">
        <f aca="false">Wyjaśnienia!$B$67+Wyjaśnienia!$B$68</f>
        <v>184000</v>
      </c>
    </row>
    <row r="31" customFormat="false" ht="15" hidden="false" customHeight="true" outlineLevel="0" collapsed="false">
      <c r="A31" s="3" t="s">
        <v>172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174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175</v>
      </c>
      <c r="D34" s="11" t="n">
        <f aca="false">SUM(D30:D33)</f>
        <v>256800</v>
      </c>
    </row>
    <row r="35" customFormat="false" ht="15" hidden="false" customHeight="true" outlineLevel="0" collapsed="false">
      <c r="A35" s="3" t="s">
        <v>176</v>
      </c>
      <c r="D35" s="8" t="n">
        <f aca="false">D34*Wyjaśnienia!$B$33</f>
        <v>59064</v>
      </c>
    </row>
    <row r="36" customFormat="false" ht="15" hidden="false" customHeight="true" outlineLevel="0" collapsed="false">
      <c r="A36" s="10" t="s">
        <v>177</v>
      </c>
      <c r="D36" s="11" t="n">
        <f aca="false">D34+D35</f>
        <v>315864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21" t="s">
        <v>377</v>
      </c>
      <c r="B19" s="26" t="n">
        <v>0</v>
      </c>
      <c r="C19" s="22" t="n">
        <v>1</v>
      </c>
      <c r="D19" s="24" t="n">
        <f aca="false">B19*C19</f>
        <v>0</v>
      </c>
      <c r="E19" s="15" t="s">
        <v>378</v>
      </c>
    </row>
    <row r="20" customFormat="false" ht="15" hidden="false" customHeight="true" outlineLevel="0" collapsed="false">
      <c r="A20" s="6" t="s">
        <v>169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170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1" t="s">
        <v>172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1" t="s">
        <v>173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1" t="s">
        <v>379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175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1" t="s">
        <v>176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177</v>
      </c>
      <c r="B28" s="3"/>
      <c r="C28" s="3"/>
      <c r="D28" s="27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2026-10-27T21:49:32Z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