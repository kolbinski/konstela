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yjaśnienia" sheetId="1" state="visible" r:id="rId3"/>
    <sheet name="Budżet Rozmowy z AI" sheetId="2" state="visible" r:id="rId4"/>
    <sheet name="Budżet Piosenki" sheetId="3" state="visible" r:id="rId5"/>
    <sheet name="Budżet Plakatu" sheetId="4" state="visible" r:id="rId6"/>
    <sheet name="Budżet Filmu" sheetId="5" state="visible" r:id="rId7"/>
    <sheet name="Budżet Akademii" sheetId="6" state="visible" r:id="rId8"/>
    <sheet name="Budżet Antologii" sheetId="7" state="visible" r:id="rId9"/>
    <sheet name="Budżet Gali" sheetId="8" state="visible" r:id="rId10"/>
    <sheet name="Budżet Uruchomienia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<sst xmlns="http://schemas.openxmlformats.org/spreadsheetml/2006/main" count="755" uniqueCount="420">
  <si>
    <t xml:space="preserve">Budżet pierwszej edycji Nagrody Konstela</t>
  </si>
  <si>
    <t xml:space="preserve">Siedem osobnych budżetów, bo każdy sponsor finansuje nazwany zakres, a nie udział w całości. Akademia obejmuje pierwsze przejście oceny we wszystkich kategoriach.</t>
  </si>
  <si>
    <t xml:space="preserve">ILE I OD KOGO</t>
  </si>
  <si>
    <t xml:space="preserve">Zakładka</t>
  </si>
  <si>
    <t xml:space="preserve">Kto to finansuje</t>
  </si>
  <si>
    <t xml:space="preserve">Kwota netto</t>
  </si>
  <si>
    <t xml:space="preserve">Budżet Rozmowy z AI - nagrody, ocena i promocja</t>
  </si>
  <si>
    <t xml:space="preserve">Fundator puli nagród</t>
  </si>
  <si>
    <t xml:space="preserve">Budżet Piosenki - plebiscyt na piosenkę</t>
  </si>
  <si>
    <t xml:space="preserve">Sponsor plebiscytu</t>
  </si>
  <si>
    <t xml:space="preserve">Budżet Plakatu - plebiscyt na plakat</t>
  </si>
  <si>
    <t xml:space="preserve">Mecenas plebiscytu na plakat</t>
  </si>
  <si>
    <t xml:space="preserve">Budżet Filmu - plebiscyt na film</t>
  </si>
  <si>
    <t xml:space="preserve">Sponsor plebiscytu filmu</t>
  </si>
  <si>
    <t xml:space="preserve">Budżet Akademii - pierwsza runda oceny we wszystkich kategoriach</t>
  </si>
  <si>
    <t xml:space="preserve">Sponsor Akademii (np. sieć handlowa - vouchery)</t>
  </si>
  <si>
    <t xml:space="preserve">Budżet Antologii - antologia i archiwum</t>
  </si>
  <si>
    <t xml:space="preserve">Partner wydawniczy / sponsor organizacyjny</t>
  </si>
  <si>
    <t xml:space="preserve">Budżet Gali - gala rozstrzygnięcia</t>
  </si>
  <si>
    <t xml:space="preserve">Sponsor gali</t>
  </si>
  <si>
    <t xml:space="preserve">Budżet Uruchomienia - fundacja, znak, strona i narzędzia</t>
  </si>
  <si>
    <t xml:space="preserve">Mecenas Założycielski</t>
  </si>
  <si>
    <t xml:space="preserve">RAZEM</t>
  </si>
  <si>
    <t xml:space="preserve">LICZBY, KTÓRE USTAWIASZ</t>
  </si>
  <si>
    <t xml:space="preserve">Zmieniasz wyłącznie żółte pola poniżej. Wszystkie budżety przeliczą się same.</t>
  </si>
  <si>
    <t xml:space="preserve">Stawka godzinowa organizatora (netto)</t>
  </si>
  <si>
    <t xml:space="preserve">Podstawa wyceny Twojej pracy we wszystkich budżetach.</t>
  </si>
  <si>
    <t xml:space="preserve">Liczba zgłoszeń do Nagrody</t>
  </si>
  <si>
    <t xml:space="preserve">Wpływa na godziny oceny formalnej i korespondencji.</t>
  </si>
  <si>
    <t xml:space="preserve">Nagroda główna (brutto)</t>
  </si>
  <si>
    <t xml:space="preserve">Największa pojedyncza pozycja całości.</t>
  </si>
  <si>
    <t xml:space="preserve">Wyróżnienie dla finalisty (brutto)</t>
  </si>
  <si>
    <t xml:space="preserve">Siedem osób z dziesiątki antologii, poza podium.</t>
  </si>
  <si>
    <t xml:space="preserve">Liczba wyróżnień</t>
  </si>
  <si>
    <t xml:space="preserve">Dziesiątka minus laureat, drugie i trzecie miejsce.</t>
  </si>
  <si>
    <t xml:space="preserve">Nagroda za drugie miejsce (brutto)</t>
  </si>
  <si>
    <t xml:space="preserve">Druga rozmowa z werdyktu jury.</t>
  </si>
  <si>
    <t xml:space="preserve">Nagroda za trzecie miejsce (brutto)</t>
  </si>
  <si>
    <t xml:space="preserve">Trzecia rozmowa z werdyktu jury.</t>
  </si>
  <si>
    <t xml:space="preserve">Liczba zgłoszeń do plebiscytu</t>
  </si>
  <si>
    <t xml:space="preserve">Wpływa na koszt kontroli zgłoszeń.</t>
  </si>
  <si>
    <t xml:space="preserve">Nagrody plebiscytu łącznie (brutto)</t>
  </si>
  <si>
    <t xml:space="preserve">20 tys. + 10 tys. + 5 tys. dla czołowej trójki.</t>
  </si>
  <si>
    <t xml:space="preserve">Nagrody publiczności piosenki łącznie (brutto)</t>
  </si>
  <si>
    <t xml:space="preserve">10 000 zł dla wykonawcy z największą liczbą głosów oraz 2 000 zł za najlepsze uzasadnienie oddanego głosu, wybierane przez trzyosobowy zespół spoza jury. Uzasadnienie jest obowiązkowe przy każdym głosie, od 200 do 1500 znaków (§ 11 ust. 2 regulaminu).</t>
  </si>
  <si>
    <t xml:space="preserve">Nagrody publiczności rozmowy łącznie (brutto)</t>
  </si>
  <si>
    <t xml:space="preserve">10 000 zł dla rozmowy z największą liczbą głosów oraz 2 000 zł dla głosującego, który najlepiej uzasadnił swój głos. Nagroda Uczniowska 10 000 zł jest pozycją osobną.</t>
  </si>
  <si>
    <t xml:space="preserve">Nagranie studyjne - koszt za utwór (netto)</t>
  </si>
  <si>
    <t xml:space="preserve">Środek widełek 5-10 tys. Do wyceny przez Michała Sołtana.</t>
  </si>
  <si>
    <t xml:space="preserve">Liczba nagrań studyjnych</t>
  </si>
  <si>
    <t xml:space="preserve">Dziesięciu finalistów; te nagrania trafiają na płytę.</t>
  </si>
  <si>
    <t xml:space="preserve">Hymn z teledyskiem (netto)</t>
  </si>
  <si>
    <t xml:space="preserve">Środek widełek 60-100 tys. Górny koniec przy szerszym składzie.</t>
  </si>
  <si>
    <t xml:space="preserve">Medal zwycięzcy i dyplomy piosenki (netto)</t>
  </si>
  <si>
    <t xml:space="preserve">Ten sam medal co w plebiscycie na rozmowę, cena jak w Budżecie Rozmowy z AI.</t>
  </si>
  <si>
    <t xml:space="preserve">Rezerwa w Budżecie Rozmowy z AI</t>
  </si>
  <si>
    <t xml:space="preserve">Narzut na nieprzewidziane.</t>
  </si>
  <si>
    <t xml:space="preserve">Wynagrodzenie wykonawcy (od pracy własnej organizatora)</t>
  </si>
  <si>
    <t xml:space="preserve">Narzut wynagrodzenia podmiotu, który wykona tę część, liczony wyłącznie od jego własnej pracy. Koszty zewnętrzne - notariusz, opłaty urzędowe, księgowość, agencja, druk, studio - wchodzą do budżetu w kwotach, jakie wystawi dostawca, bez narzutu. Rezerwa 10% liczona jest osobno, od pracy i kosztów razem, bo przekroczenie może wystąpić po obu stronach.</t>
  </si>
  <si>
    <t xml:space="preserve">Rezerwa w Budżecie Piosenki</t>
  </si>
  <si>
    <t xml:space="preserve">Stawka VAT</t>
  </si>
  <si>
    <t xml:space="preserve">Dotyczy faktur wystawianych sponsorom.</t>
  </si>
  <si>
    <t xml:space="preserve">Podatek od nagród (ryczałt)</t>
  </si>
  <si>
    <t xml:space="preserve">CZEGO JESZCZE NIE MA</t>
  </si>
  <si>
    <t xml:space="preserve">Honoraria jury we wszystkich plebiscytach - osobno za ocenę zgłoszeń i za etap przygotowania karty oceny</t>
  </si>
  <si>
    <t xml:space="preserve">Realizacja części artystycznej gali</t>
  </si>
  <si>
    <t xml:space="preserve">Po wpisaniu tych kwot rosną Budżet Piosenki, Budżet Plakatu i Budżet Filmu. W Budżecie Plakatu czekają na wycenę cztery pozycje, w Budżecie Filmu pięć - wszystkie opisane w kolumnie Uwagi.</t>
  </si>
  <si>
    <t xml:space="preserve">JAK CZYTAĆ BUDŻETY</t>
  </si>
  <si>
    <t xml:space="preserve">Każda z zakładek budżetowych ma ten sam układ: praca organizatora, koszty twarde, podsumowanie.</t>
  </si>
  <si>
    <t xml:space="preserve">W podsumowaniu jest kwota netto, VAT i kwota brutto, którą sponsor widzi na fakturze.</t>
  </si>
  <si>
    <t xml:space="preserve">Kolumna "Rok kosztu" w każdej zakładce mówi, na który rok edycji przypada dana pozycja: 2027 to rok naboru, 2028 to ocena jury, nagrody, produkcja antologii, gala i wystawy. Rezerwa i marża dzielą się proporcjonalnie do kosztów danego roku. Podział w tym układzie pokazuje załącznik "Zestawienie zadania".</t>
  </si>
  <si>
    <t xml:space="preserve">AKADEMIA - PARAMETRY SKALOWANIA</t>
  </si>
  <si>
    <t xml:space="preserve">Odczytów na jedno zgłoszenie w rundzie pierwszej</t>
  </si>
  <si>
    <t xml:space="preserve">Regulamin § 8: co najmniej dwóch czytelników przy 21-60 zgłoszeniach; powyżej 200 przesiew jednoosobowy z drugim odczytem poniżej progu.</t>
  </si>
  <si>
    <t xml:space="preserve">Voucher za każde 100 ocenionych rozmów (netto)</t>
  </si>
  <si>
    <t xml:space="preserve">Świadczenie rzeczowe sponsora Akademii. Do ustalenia ze sponsorem.</t>
  </si>
  <si>
    <t xml:space="preserve">Honorarium podstawowe czytelnika (netto)</t>
  </si>
  <si>
    <t xml:space="preserve">Przeniesione z Budżetu Rozmowy z AI. Voucher jest dodatkiem, nie zamiennikiem.</t>
  </si>
  <si>
    <t xml:space="preserve">Liczba czytelników w pierwszej edycji</t>
  </si>
  <si>
    <t xml:space="preserve">Maksymalnie 20 zgłoszeń na czytelnika (regulamin § 8).</t>
  </si>
  <si>
    <t xml:space="preserve">Czas na jeden odczyt rozmowy wraz z kartą oceny (minut)</t>
  </si>
  <si>
    <t xml:space="preserve">PLAKAT - PARAMETRY</t>
  </si>
  <si>
    <t xml:space="preserve">Liczba zgłoszeń plakatów</t>
  </si>
  <si>
    <t xml:space="preserve">Wpływa na koszt kontroli formalnej.</t>
  </si>
  <si>
    <t xml:space="preserve">Nagrody plakatu łącznie (brutto)</t>
  </si>
  <si>
    <t xml:space="preserve">50 tys. + 25 tys. + 15 tys. dla czołowej trójki.</t>
  </si>
  <si>
    <t xml:space="preserve">Nagrody publiczności plakatu łącznie (brutto)</t>
  </si>
  <si>
    <t xml:space="preserve">10 000 zł dla pracy z największą liczbą głosów oraz 2 000 zł za najlepsze uzasadnienie oddanego głosu, wybierane przez trzyosobowy zespół spoza jury (§ 12 ust. 6).</t>
  </si>
  <si>
    <t xml:space="preserve">Medal zwycięzcy i dyplomy plakatu (netto)</t>
  </si>
  <si>
    <t xml:space="preserve">Liczba jurorów plakatu</t>
  </si>
  <si>
    <t xml:space="preserve">Kotwica, nie decyzja: pozycja honorariów w Budżecie Plakatu stoi na zerze jako DO USTALENIA, do rozmowy z przewodniczącym jury.</t>
  </si>
  <si>
    <t xml:space="preserve">Godzin oceny na jurora</t>
  </si>
  <si>
    <t xml:space="preserve">Oglądanie reprodukcji jest szybsze niż odsłuch utworów; przy jury przyjęto 15 h.</t>
  </si>
  <si>
    <t xml:space="preserve">Stawka jury plakatu za godzinę (netto)</t>
  </si>
  <si>
    <t xml:space="preserve">Stawka przyjęta dla jury oceniającej rozmowy.</t>
  </si>
  <si>
    <t xml:space="preserve">Liczba prac finałowych</t>
  </si>
  <si>
    <t xml:space="preserve">Dziesiątka, której oryginały jadą na wystawę.</t>
  </si>
  <si>
    <t xml:space="preserve">Transport jednej pracy w jedną stronę (netto)</t>
  </si>
  <si>
    <t xml:space="preserve">Szacunek, nie oferta. Format do 150 cm przekracza limity standardowych przesyłek.</t>
  </si>
  <si>
    <t xml:space="preserve">Ubezpieczenie prac na czas wystawy (netto)</t>
  </si>
  <si>
    <t xml:space="preserve">Szacunek przy sumie deklarowanej rzędu 100 tys. zł dla całej dziesiątki.</t>
  </si>
  <si>
    <t xml:space="preserve">Rezerwa w Budżecie Plakatu</t>
  </si>
  <si>
    <t xml:space="preserve">FILM - PARAMETRY</t>
  </si>
  <si>
    <t xml:space="preserve">Liczba zgłoszeń filmów</t>
  </si>
  <si>
    <t xml:space="preserve">Wpływa na koszt kontroli formalnej i na wielkość Akademii filmu.</t>
  </si>
  <si>
    <t xml:space="preserve">Nagrody filmu łącznie (brutto)</t>
  </si>
  <si>
    <t xml:space="preserve">100 tys. + 50 tys. + 30 tys. dla czołowej trójki. Siedem wyróżnień nie jest pieniężnych.</t>
  </si>
  <si>
    <t xml:space="preserve">Nagrody publiczności filmu łącznie (brutto)</t>
  </si>
  <si>
    <t xml:space="preserve">10 000 zł dla filmu z największą liczbą głosów oraz 2 000 zł za najlepsze uzasadnienie oddanego głosu, wybierane przez trzyosobowy zespół spoza jury (§ 11a ust. 5).</t>
  </si>
  <si>
    <t xml:space="preserve">Medal zwycięzcy i dyplomy filmu (netto)</t>
  </si>
  <si>
    <t xml:space="preserve">Ten sam medal co w pozostałych plebiscytach; dyplomy dla dziesięciu finalistów.</t>
  </si>
  <si>
    <t xml:space="preserve">Liczba filmów finałowych</t>
  </si>
  <si>
    <t xml:space="preserve">Dziesięciu finalistów: trójka z nagrodami pieniężnymi i siedem wyróżnień. Minutowe skróty na gali dostaje pięć najwyżej ocenionych.</t>
  </si>
  <si>
    <t xml:space="preserve">Liczba jurorów filmu</t>
  </si>
  <si>
    <t xml:space="preserve">Kotwica, nie decyzja: pozycja honorariów w Budżecie Filmu stoi na zerze jako DO USTALENIA.</t>
  </si>
  <si>
    <t xml:space="preserve">Godzin oceny na jurora filmu</t>
  </si>
  <si>
    <t xml:space="preserve">Akademia przekazuje jury nie więcej niż dwadzieścia filmów (§ 8 ust. 5a); dwadzieścia filmów po najwyżej 90 minut to 30 godzin samego oglądania, reszta na karty oceny, obrady i werdykt.</t>
  </si>
  <si>
    <t xml:space="preserve">Stawka jury filmu za godzinę (netto)</t>
  </si>
  <si>
    <t xml:space="preserve">Rezerwa w Budżecie Filmu</t>
  </si>
  <si>
    <t xml:space="preserve">Narzut na nieprzewidziane, jak w pozostałych budżetach.</t>
  </si>
  <si>
    <t xml:space="preserve">Obejrzeń jednego filmu w Akademii</t>
  </si>
  <si>
    <t xml:space="preserve">Dwa niezależne obejrzenia, analogicznie do dwóch odczytów rozmowy.</t>
  </si>
  <si>
    <t xml:space="preserve">Honorarium za obejrzenie jednego filmu (netto)</t>
  </si>
  <si>
    <t xml:space="preserve">Film do 90 minut plus karta oceny to około 2 godzin pracy. Ustalenie z 26.10.2026.</t>
  </si>
  <si>
    <t xml:space="preserve">Maksimum filmów na jednego oceniającego</t>
  </si>
  <si>
    <t xml:space="preserve">Dziesięć filmów to około 20 godzin oglądania. Wyznacza, ilu ludzi trzeba przy danym wolumenie.</t>
  </si>
  <si>
    <t xml:space="preserve">Finansuje: Fundator nagród w plebiscycie na najlepszą rozmowę ze sztuczną inteligencją. Kwoty netto, chyba że napisano inaczej.</t>
  </si>
  <si>
    <t xml:space="preserve">Na żółto pola do edycji. Pozostałe liczą się same albo pochodzą z zakładki Wyjaśnienia.</t>
  </si>
  <si>
    <t xml:space="preserve">PRACA ORGANIZATORA</t>
  </si>
  <si>
    <t xml:space="preserve">Pozycja</t>
  </si>
  <si>
    <t xml:space="preserve">Godziny</t>
  </si>
  <si>
    <t xml:space="preserve">Minut na zgłoszenie</t>
  </si>
  <si>
    <t xml:space="preserve">Razem godzin</t>
  </si>
  <si>
    <t xml:space="preserve">Kwota</t>
  </si>
  <si>
    <t xml:space="preserve">Uwagi</t>
  </si>
  <si>
    <t xml:space="preserve">Rok kosztu</t>
  </si>
  <si>
    <t xml:space="preserve">Rekrutacja jury i Akademii, korespondencja</t>
  </si>
  <si>
    <t xml:space="preserve">15 czytelników, 3-5 jurorów, lista rezerwowa</t>
  </si>
  <si>
    <t xml:space="preserve">2027</t>
  </si>
  <si>
    <t xml:space="preserve">Próba kalibracyjna i dwie powtórki kotwic</t>
  </si>
  <si>
    <t xml:space="preserve">3 rozmowy spoza edycji</t>
  </si>
  <si>
    <t xml:space="preserve">Obsługa panelu oceny, przydziały, przypomnienia</t>
  </si>
  <si>
    <t xml:space="preserve">rozłożone na 12 miesięcy naboru</t>
  </si>
  <si>
    <t xml:space="preserve">Archiwizacja i ocena formalna</t>
  </si>
  <si>
    <t xml:space="preserve">skrypt plus obsługa wyjątków</t>
  </si>
  <si>
    <t xml:space="preserve">Korespondencja z uczestnikami</t>
  </si>
  <si>
    <t xml:space="preserve">potwierdzenia, kopie archiwalne, pytania</t>
  </si>
  <si>
    <t xml:space="preserve">Postępowania szczególne</t>
  </si>
  <si>
    <t xml:space="preserve">inscenizacja, treści trudne, odmowy publikacji</t>
  </si>
  <si>
    <t xml:space="preserve">Koordynacja rundy drugiej z jury</t>
  </si>
  <si>
    <t xml:space="preserve">spotkania, protokoły, rozbieżności</t>
  </si>
  <si>
    <t xml:space="preserve">2028</t>
  </si>
  <si>
    <t xml:space="preserve">Rozmowy weryfikacyjne (10 finalistów)</t>
  </si>
  <si>
    <t xml:space="preserve">prowadzi Organizator osobiście</t>
  </si>
  <si>
    <t xml:space="preserve">Rozliczenia, podatki, sprawozdanie dla sponsorów</t>
  </si>
  <si>
    <t xml:space="preserve">z księgowym</t>
  </si>
  <si>
    <t xml:space="preserve">Komunikacja, media, strona</t>
  </si>
  <si>
    <t xml:space="preserve">przez cały rok</t>
  </si>
  <si>
    <t xml:space="preserve">Razem praca</t>
  </si>
  <si>
    <t xml:space="preserve">KOSZTY TWARDE</t>
  </si>
  <si>
    <t xml:space="preserve">Cena jednostkowa</t>
  </si>
  <si>
    <t xml:space="preserve">Ilość</t>
  </si>
  <si>
    <t xml:space="preserve">Medal laureata i dyplomy</t>
  </si>
  <si>
    <t xml:space="preserve">medal zwycięzcy, 10 dyplomów</t>
  </si>
  <si>
    <t xml:space="preserve">Obsługa księgowa projektu</t>
  </si>
  <si>
    <t xml:space="preserve">ponad bieżącą obsługę działalności</t>
  </si>
  <si>
    <t xml:space="preserve">Domeny konstela.org i konstela.pl</t>
  </si>
  <si>
    <t xml:space="preserve">opłacone</t>
  </si>
  <si>
    <t xml:space="preserve">Honoraria jury</t>
  </si>
  <si>
    <t xml:space="preserve">15 czytelników po 2 500 zł, 4 jurorów po 8 000 zł</t>
  </si>
  <si>
    <t xml:space="preserve">4 jurorów po 8 000 zł; honoraria Akademii przeniesione do Budżetu Akademii</t>
  </si>
  <si>
    <t xml:space="preserve">Honoraria jury za etap przygotowawczy: karta oceny i wagi kryteriów (netto)</t>
  </si>
  <si>
    <t xml:space="preserve">DO USTALENIA - etap przed naborem, osobny od oceny zgłoszeń; obejmuje opisy przedziałów punktowych i przykłady ich zastosowania Rok kosztu: 2027 - karta oceny powstaje przed otwarciem naboru. Jeżeli zapłata nastąpi później, pozycję trzeba przypisać do roku wypłaty.</t>
  </si>
  <si>
    <t xml:space="preserve">Promocja naboru</t>
  </si>
  <si>
    <t xml:space="preserve">materiały, obsługa prasowa przy starcie i rozstrzygnięciu, płatne dotarcie</t>
  </si>
  <si>
    <t xml:space="preserve">Nagrody publiczności (brutto)</t>
  </si>
  <si>
    <t xml:space="preserve">10 000 zł dla zgłoszenia z największą liczbą głosów oraz 2 000 zł za najlepsze uzasadnienie oddanego głosu</t>
  </si>
  <si>
    <t xml:space="preserve">Ubezpieczenie OC organizatora</t>
  </si>
  <si>
    <t xml:space="preserve">do ustalenia po konsultacji prawnej; na razie pokryte rezerwą</t>
  </si>
  <si>
    <t xml:space="preserve">Nagroda Uczniowska (brutto)</t>
  </si>
  <si>
    <t xml:space="preserve">wskazywana przez grupy uczniowskie zgłaszane przez szkoły, jedna szkoła - jedno wskazanie; niezależna od werdyktu jury i od Nagrody Publiczności, może przypaść rozmowie spoza pierwszej dziesiątki</t>
  </si>
  <si>
    <t xml:space="preserve">Infrastruktura i narzędzia AI na czas rozstrzygnięcia edycji, I-IV 2028 (4 mies.)</t>
  </si>
  <si>
    <t xml:space="preserve">hosting, magazyn kopii archiwalnych i licencje AI za cztery miesiące domykające edycję; roczne pozycje w Budżecie Uruchomienia kończą się w grudniu 2027, a gala wypada w kwietniu 2028</t>
  </si>
  <si>
    <t xml:space="preserve">Honoraria zespołu wybierającego najlepsze uzasadnienie głosu (netto)</t>
  </si>
  <si>
    <t xml:space="preserve">trzy osoby spoza jury, po 1 000 zł; czytają uzasadnienia oddanych głosów i wybierają nagrodzone (nagroda 2 000 zł mieści się w nagrodach publiczności)</t>
  </si>
  <si>
    <t xml:space="preserve">Razem koszty twarde</t>
  </si>
  <si>
    <t xml:space="preserve">PODSUMOWANIE</t>
  </si>
  <si>
    <t xml:space="preserve">Nagrody (brutto dla laureatów, bez VAT)</t>
  </si>
  <si>
    <t xml:space="preserve">Praca organizatora</t>
  </si>
  <si>
    <t xml:space="preserve">Koszty twarde</t>
  </si>
  <si>
    <t xml:space="preserve">Rezerwa (od pracy i kosztów, bez nagród)</t>
  </si>
  <si>
    <t xml:space="preserve">liczona od pracy i kosztów twardych z wyłączeniem nagród publiczności i Nagrody Uczniowskiej - tak samo jak w pozostałych budżetach, gdzie rezerwa nagród nie obejmuje</t>
  </si>
  <si>
    <t xml:space="preserve">RAZEM NETTO</t>
  </si>
  <si>
    <t xml:space="preserve">VAT</t>
  </si>
  <si>
    <t xml:space="preserve">DO ZAPŁATY BRUTTO - ta liczba trafia na fakturę</t>
  </si>
  <si>
    <t xml:space="preserve">Finansuje: Fundator nagród w plebiscycie na piosenkę o sztucznej inteligencji. Kwoty netto, chyba że napisano inaczej.</t>
  </si>
  <si>
    <t xml:space="preserve">Kontrola formalna zgłoszeń plebiscytu</t>
  </si>
  <si>
    <t xml:space="preserve">10 minut na zgłoszenie; przy dużych liczbach część kontroli automatyzowana.</t>
  </si>
  <si>
    <t xml:space="preserve">Koordynacja nagrań studyjnych dziesięciu finalistów</t>
  </si>
  <si>
    <t xml:space="preserve">umowy, terminy w studiu, przekazanie praw autorom</t>
  </si>
  <si>
    <t xml:space="preserve">Obsługa jury plebiscytu: przydziały, obrady, werdykt</t>
  </si>
  <si>
    <t xml:space="preserve">w tym preselekcja powyżej progu</t>
  </si>
  <si>
    <t xml:space="preserve">Obsługa głosowania publiczności i ogłoszenie wyniku</t>
  </si>
  <si>
    <t xml:space="preserve">bramka SMS, ukryte liczniki, ogłoszenie na gali</t>
  </si>
  <si>
    <t xml:space="preserve">Komunikacja plebiscytu i dotarcie do wykonawców</t>
  </si>
  <si>
    <t xml:space="preserve">grupy muzyków, szkoły muzyczne, scena coverowa, radia</t>
  </si>
  <si>
    <t xml:space="preserve">Powyżej progu zgłoszeń pierwsze przejście oceny przechodzi na Akademię, tak jak w plebiscycie na rozmowę - dlatego te godziny nie rosną z naborem. Minuty na zgłoszenie dotyczą wyłącznie kontroli formalnej.</t>
  </si>
  <si>
    <t xml:space="preserve">Nagrody plebiscytu (brutto dla laureatów)</t>
  </si>
  <si>
    <t xml:space="preserve">czołowa trójka; podatek 10% jak przy Nagrodzie</t>
  </si>
  <si>
    <t xml:space="preserve">Nagrania studyjne dziesięciu finalistów (netto)</t>
  </si>
  <si>
    <t xml:space="preserve">prawa do nagrań przechodzą na autorów</t>
  </si>
  <si>
    <t xml:space="preserve">premiera w czasie trwania naboru w 2027; otwarcie edycji nie jest od niej uzależnione</t>
  </si>
  <si>
    <t xml:space="preserve">Medal zwycięzcy i dyplomy finalistów (netto)</t>
  </si>
  <si>
    <t xml:space="preserve">ten sam medal, który otrzymuje laureat plebiscytu rozmów; dyplomy dla całej dziesiątki</t>
  </si>
  <si>
    <t xml:space="preserve">Honoraria jury plebiscytu za ocenę (netto)</t>
  </si>
  <si>
    <t xml:space="preserve">DO USTALENIA - kotwica: stawka jury ok. 290 zł/h, ok. 15 h na jurora</t>
  </si>
  <si>
    <t xml:space="preserve">DO USTALENIA - etap przed naborem, osobny od oceny zgłoszeń; kotwica: stawka jury ok. 290 zł/h</t>
  </si>
  <si>
    <t xml:space="preserve">Realizacja części artystycznej gali (netto)</t>
  </si>
  <si>
    <t xml:space="preserve">DO WYCENY - zależy od miejsca gali, które nie jest wybrane</t>
  </si>
  <si>
    <t xml:space="preserve">Obsługa prawna plebiscytu (netto)</t>
  </si>
  <si>
    <t xml:space="preserve">DO WYCENY - zakres plebiscytowy nie był objęty wyceną z 22.10.2026; osobne zlecenie</t>
  </si>
  <si>
    <t xml:space="preserve">odrębne zlecenie na pytania plebiscytowe; kwota z zapasem wobec ofert kancelarii</t>
  </si>
  <si>
    <t xml:space="preserve">Dojazd i nocleg dziesięciu finalistów na galę - w Budżecie Gali (netto)</t>
  </si>
  <si>
    <t xml:space="preserve">pokrywa je sponsor gali; pozycja zostaje w zestawieniu, żeby było widać, że koszt istnieje i kto go ponosi</t>
  </si>
  <si>
    <t xml:space="preserve">Koszty twarde bez nagród</t>
  </si>
  <si>
    <t xml:space="preserve">Finansuje: Mecenas plebiscytu na plakat. Kwoty netto, chyba że napisano inaczej.</t>
  </si>
  <si>
    <t xml:space="preserve">Kontrola formalna zgłoszeń plakatów</t>
  </si>
  <si>
    <t xml:space="preserve">format, proporcje, rozdzielczość, oświadczenia; 10 minut na zgłoszenie, w tym obejrzenie nagrania z pracy trwającego co najmniej 3 minuty</t>
  </si>
  <si>
    <t xml:space="preserve">Obsługa jury plakatu: przydziały, preselekcja, obrady, werdykt</t>
  </si>
  <si>
    <t xml:space="preserve">werdykt zapada przed galą, bo okładka antologii idzie do druku</t>
  </si>
  <si>
    <t xml:space="preserve">ukryte liczniki, ogłoszenie na gali</t>
  </si>
  <si>
    <t xml:space="preserve">Przyjęcie, ewidencja i zwrot oryginałów finalistów</t>
  </si>
  <si>
    <t xml:space="preserve">Dwie lokalizacje: wystawa przy gali i wernisaż w galerii sztuki (regulamin § 10 ust. 3a), więc protokoły, przewóz między miejscami i ubezpieczenie na dłuższy okres - do 120 dni od dostarczenia pracy. Przy wycenie sprawdzić, czy 35 godzin wystarcza.</t>
  </si>
  <si>
    <t xml:space="preserve">Uzgodnienie okładki antologii ze zwycięzcą</t>
  </si>
  <si>
    <t xml:space="preserve">zgoda w 7 dni po werdykcie, typografia, kadrowanie, redakcja</t>
  </si>
  <si>
    <t xml:space="preserve">Dotarcie do szkół artystycznych i środowiska ilustratorów</t>
  </si>
  <si>
    <t xml:space="preserve">ASP, licea plastyczne, grupy ilustratorów, konkursy plakatowe</t>
  </si>
  <si>
    <t xml:space="preserve">Obsługa licytacji: warunki, zgody, rozliczenia</t>
  </si>
  <si>
    <t xml:space="preserve">propozycja po zamknięciu ocen, podział 50/50, rozliczenie na piśmie. Licytacja towarzyszy wystawie w galerii, dlatego w zestawieniu zadania te godziny są wykazane poza zakresem pytania do MKiDN.</t>
  </si>
  <si>
    <t xml:space="preserve">Nagrody plakatu (brutto dla laureatów)</t>
  </si>
  <si>
    <t xml:space="preserve">czołowa trójka: 50, 25 i 15 tys.; podatek 10% jak przy Nagrodzie</t>
  </si>
  <si>
    <t xml:space="preserve">Honoraria jury plakatu za ocenę (netto)</t>
  </si>
  <si>
    <t xml:space="preserve">DO USTALENIA - stawka godzinowa jest przy nazwisku złym narzędziem; kotwica z Wyjaśnień (5 osób x 10 h x 290 zł) dałaby 14 500 zł</t>
  </si>
  <si>
    <t xml:space="preserve">DO USTALENIA - etap przed naborem, osobny od oceny zgłoszeń; obejmuje opisy przedziałów punktowych i przykłady ich zastosowania</t>
  </si>
  <si>
    <t xml:space="preserve">Transport oryginałów w obie strony (netto)</t>
  </si>
  <si>
    <t xml:space="preserve">szacunek, nie oferta; organizator pokrywa obie strony</t>
  </si>
  <si>
    <t xml:space="preserve">szacunek przy sumie deklarowanej rzędu 100 tys. zł</t>
  </si>
  <si>
    <t xml:space="preserve">Wystawa prac finałowych w postaci gwarantowanej (netto)</t>
  </si>
  <si>
    <t xml:space="preserve">postać minimalna zagwarantowana w umowie z mecenasem: dziesięć prac, opisy i nazwisko mecenasa, miejsce publicznie dostępne, co najmniej 14 dni; przy gali albo w osobnym terminie do trzech miesięcy po ogłoszeniu wyników. Bogatsza oprawa - zawieszenie, oświetlenie sceniczne, wernisaż - pozostaje do wyceny i do osobnego aneksu</t>
  </si>
  <si>
    <t xml:space="preserve">Obsługa prawna regulaminu plakatu (netto)</t>
  </si>
  <si>
    <t xml:space="preserve">DO WYCENY - odrębne zlecenie kancelarii, nie złożone</t>
  </si>
  <si>
    <t xml:space="preserve">Dojazd i nocleg finalistów na galę - w Budżecie Gali (netto)</t>
  </si>
  <si>
    <t xml:space="preserve">Polisa: wycena prac, rozszerzenie na przechowywanie i okres po sprzedaży (netto)</t>
  </si>
  <si>
    <t xml:space="preserve">DO WYCENY - polisa ma objąć cały uzgodniony okres: transport w obie strony, przechowywanie u organizatora, obie wystawy oraz czas po sprzedaży do wydania pracy nabywcy; do ustalenia suma ubezpieczenia na pracę, udział własny i procedura zgłoszenia szkody</t>
  </si>
  <si>
    <t xml:space="preserve">POZA ZAKRESEM PYTANIA DO MKiDN</t>
  </si>
  <si>
    <t xml:space="preserve">Wystawa w galerii sztuki jest celem, nie zobowiązaniem regulaminowym, i ma własne źródło finansowania. Pierwsza pozycja poniżej nie wchodzi do sum powyżej, bo czeka na wycenę. Druga powtarza godziny już policzone w wierszu 13 i również nie jest do sum dodawana - pokazuje tylko, ile z pracy organizatora przypada na część poza pytaniem do MKiDN.</t>
  </si>
  <si>
    <t xml:space="preserve">Realizacja wernisażu i wystawy w galerii sztuki (netto)</t>
  </si>
  <si>
    <t xml:space="preserve">DO WYCENY - zawieszenie, oświetlenie, opisy prac, obsługa wernisażu i przewóz między miejscami. Finansuje partner galerii.</t>
  </si>
  <si>
    <t xml:space="preserve">Obsługa cichej licytacji oryginałów (netto)</t>
  </si>
  <si>
    <t xml:space="preserve">Te same 20 godzin, które są policzone w wierszu 13 i w sumie głównej. Tutaj wyłącznie dla pokazania, ile z pracy organizatora przypada na część poza pytaniem - nie dodawać drugi raz.</t>
  </si>
  <si>
    <t xml:space="preserve">Finansuje: Fundator nagród w plebiscycie na film o sztucznej inteligencji. Kwoty netto, chyba że napisano inaczej.</t>
  </si>
  <si>
    <t xml:space="preserve">Na żółto pola do edycji w zakładce Wyjaśnienia. Pierwsze przejście oceny prowadzi Akademia filmu i jej koszt stoi w zakładce Budżet Akademii, żeby nie liczyć go dwa razy.</t>
  </si>
  <si>
    <t xml:space="preserve">Kontrola formalna zgłoszeń filmów</t>
  </si>
  <si>
    <t xml:space="preserve">czas trwania, język, data ukończenia, działający odnośnik, miniatura, deklaracja, oświadczenia; 12 minut na zgłoszenie</t>
  </si>
  <si>
    <t xml:space="preserve">Weryfikacja historii zgłoszonego filmu</t>
  </si>
  <si>
    <t xml:space="preserve">regulamin § 3a: film powstaje na potrzeby plebiscytu, więc sprawdzamy datę publikacji i publicznie dostępne wyniki konkursów</t>
  </si>
  <si>
    <t xml:space="preserve">Obsługa Akademii filmu i jury: przydziały, karty, obrady, werdykt</t>
  </si>
  <si>
    <t xml:space="preserve">dwa przejścia oceny, dziesięciu finalistów, kolejność całej dziesiątki</t>
  </si>
  <si>
    <t xml:space="preserve">Zebranie zwiastunów piątki i przygotowanie bloku galowego</t>
  </si>
  <si>
    <t xml:space="preserve">zwiastun jest częścią zgłoszenia i po zamknięciu naboru nie podlega zmianie; organizator zbiera zwiastuny piątki, sprawdza format i układa kolejność bloku galowego</t>
  </si>
  <si>
    <t xml:space="preserve">Złożenie zestawu dziesiątki i rozmowy z dystrybutorami</t>
  </si>
  <si>
    <t xml:space="preserve">regulamin § 10 ust. 4: termin i miejsce ogłaszane najpóźniej w dniu gali, udział za zgodą autora</t>
  </si>
  <si>
    <t xml:space="preserve">Prowadzenie Projektorni i archiwum filmów</t>
  </si>
  <si>
    <t xml:space="preserve">wpisy po ocenie formalnej, oznaczanie odnośników, które przestały działać</t>
  </si>
  <si>
    <t xml:space="preserve">Dotarcie do szkół filmowych, kół filmowych i festiwali</t>
  </si>
  <si>
    <t xml:space="preserve">PWSFTviT, wydziały filmowe, festiwale krótkiego metrażu, domy kultury</t>
  </si>
  <si>
    <t xml:space="preserve">Pobranie, opis i sprawdzenie kopii archiwalnych filmów</t>
  </si>
  <si>
    <t xml:space="preserve">regulamin § 12 ust. 2 lit. a: kopia archiwalna nieudostępniana publicznie, pobierana po zamknięciu naboru; 20 godzin na metodę, opis i kontrolę kompletności oraz 3 minuty na zgłoszenie</t>
  </si>
  <si>
    <t xml:space="preserve">Minuty na zgłoszenie dotyczą wyłącznie kontroli formalnej. Godziny obsługi oceny nie rosną wprost z naborem, bo pierwsze przejście wykonuje Akademia filmu - jej koszt rośnie i stoi w Budżecie Akademii.</t>
  </si>
  <si>
    <t xml:space="preserve">Nagrody filmu (brutto dla laureatów)</t>
  </si>
  <si>
    <t xml:space="preserve">czołowa trójka: 100, 50 i 30 tys.; siedem wyróżnień bez nagrody pieniężnej; podatek 10% jak przy Nagrodzie</t>
  </si>
  <si>
    <t xml:space="preserve">ten sam medal, który otrzymują zwycięzcy pozostałych plebiscytów; dyplomy dla dziesięciu finalistów</t>
  </si>
  <si>
    <t xml:space="preserve">Honoraria jury filmu za ocenę (netto)</t>
  </si>
  <si>
    <t xml:space="preserve">DO USTALENIA - kotwica z Wyjaśnień (5 osób x 40 h x 290 zł) dałaby 58 000 zł; 40 h to 30 h oglądania dwudziestu filmów przekazanych jury plus karty, obrady i werdykt</t>
  </si>
  <si>
    <t xml:space="preserve">Przygotowanie techniczne zwiastunów do emisji galowej (netto)</t>
  </si>
  <si>
    <t xml:space="preserve">DO WYCENY - pobranie pięciu zwiastunów w jakości emisyjnej, zgodność formatów, normalizacja dźwięku, plansze z tytułami; zwiastun dostarcza autor, Organizator nie montuje fragmentów filmów</t>
  </si>
  <si>
    <t xml:space="preserve">Pokaz kuratorski filmów finałowych w postaci gwarantowanej (netto)</t>
  </si>
  <si>
    <t xml:space="preserve">postać minimalna zagwarantowana w umowie z fundatorem: jeden seans blokowy z wyboru filmów finałowych w kinie studyjnym albo instytucji kultury, wstęp wolny, w ciągu trzech miesięcy po gali, ze spotkaniem z twórcami. Obejmuje salę i obsługę techniczną, przygotowanie kopii i materiały informacyjne, przejazdy i noclegi twórców prezentowanych filmów oraz honorarium prowadzącego. Szersza dystrybucja kinowa i emisja w serwisie streamingowym pozostają celem, zależnym od pozyskania partnera, i nie są tu wycenione</t>
  </si>
  <si>
    <t xml:space="preserve">Obsługa prawna regulaminu filmu (netto)</t>
  </si>
  <si>
    <t xml:space="preserve">DO WYCENY - odrębne zlecenie kancelarii, nie złożone; siedem miejsc wypisanych na końcu regulaminu, w tym status filmu wygenerowanego w całości</t>
  </si>
  <si>
    <t xml:space="preserve">Magazyn kopii archiwalnych filmów: 5 lat retencji (netto, za rok)</t>
  </si>
  <si>
    <t xml:space="preserve">magazyn obiektowy w UE z kopią zapasową, bez publicznego odtwarzania: rzędu 400-600 GB w jednej kopii, dwa razy tyle z zapasową. Pięć lat retencji opłacone z góry, bo tyle trwa obietnica wobec Fundatora i wobec autorów; o dalszym przechowywaniu rozstrzyga Rada Fundacji</t>
  </si>
  <si>
    <t xml:space="preserve">Finansuje: Sponsor Akademii. Kwoty netto. Vouchery są świadczeniem rzeczowym i rosną wprost z liczbą ocenionych rozmów.</t>
  </si>
  <si>
    <t xml:space="preserve">Na żółto pola do edycji w zakładce Wyjaśnienia. Praca organizatora przy prowadzeniu Akademii została w budżetach poszczególnych plebiscytów, żeby nie liczyć jej dwa razy.</t>
  </si>
  <si>
    <t xml:space="preserve">ILE PRACY TRZEBA WYKONAĆ</t>
  </si>
  <si>
    <t xml:space="preserve">Liczba</t>
  </si>
  <si>
    <t xml:space="preserve">Zgłoszenia rozmów do Nagrody</t>
  </si>
  <si>
    <t xml:space="preserve">Honorarium obejmuje także oznaczanie zastrzeżeń prawnych przy czytaniu (regulamin § 8 ust. 3a): dane osób trzecich, całe cudze utwory krótkie, wgrane cudze materiały. Oznaczenie nie wpływa na punktację.</t>
  </si>
  <si>
    <t xml:space="preserve">Odczytów na jedno zgłoszenie rozmowy</t>
  </si>
  <si>
    <t xml:space="preserve">regulamin § 8</t>
  </si>
  <si>
    <t xml:space="preserve">Razem odczytów rozmów</t>
  </si>
  <si>
    <t xml:space="preserve">to jest praca, którą finansuje sponsor Akademii</t>
  </si>
  <si>
    <t xml:space="preserve">Zgłoszenia filmów do plebiscytu</t>
  </si>
  <si>
    <t xml:space="preserve">Akademia filmu działa od pierwszej edycji, a nie po przekroczeniu progu: film trwa do 90 minut, więc pierwszego przejścia nie da się zrobić kilkuosobowym jury (regulamin filmu § 8 ust. 4).</t>
  </si>
  <si>
    <t xml:space="preserve">Obejrzeń jednego filmu</t>
  </si>
  <si>
    <t xml:space="preserve">dwa niezależne obejrzenia, jak dwa odczyty rozmowy</t>
  </si>
  <si>
    <t xml:space="preserve">Razem obejrzeń filmów</t>
  </si>
  <si>
    <t xml:space="preserve">każde obejrzenie to film do 90 minut plus karta oceny, czyli około 2 godzin</t>
  </si>
  <si>
    <t xml:space="preserve">WYNAGRODZENIE OCENIAJĄCYCH</t>
  </si>
  <si>
    <t xml:space="preserve">Stawka</t>
  </si>
  <si>
    <t xml:space="preserve">Honorarium podstawowe czytelników rozmów</t>
  </si>
  <si>
    <t xml:space="preserve">przeniesione z Budżetu Rozmowy z AI</t>
  </si>
  <si>
    <t xml:space="preserve">Vouchery za oceniane rozmowy</t>
  </si>
  <si>
    <t xml:space="preserve">jeden voucher za każde rozpoczęte 100 odczytów</t>
  </si>
  <si>
    <t xml:space="preserve">Honorarium oceniających filmy, za jedno obejrzenie</t>
  </si>
  <si>
    <t xml:space="preserve">300 zł za obejrzenie z wypełnieniem karty oceny, czyli około 150 zł za godzinę. Ustalenie z 26.10.2026; kwota rośnie wprost z liczbą zgłoszonych filmów.</t>
  </si>
  <si>
    <t xml:space="preserve">Razem dla oceniających</t>
  </si>
  <si>
    <t xml:space="preserve">Obsługa i rozliczenie voucherów</t>
  </si>
  <si>
    <t xml:space="preserve">ewidencja, PIT-11 dla czytelników, korespondencja</t>
  </si>
  <si>
    <t xml:space="preserve">Materiały kalibracyjne i szkolenie czytelników rozmów</t>
  </si>
  <si>
    <t xml:space="preserve">trzy rozmowy kotwiczne, instrukcja, spotkanie wprowadzające</t>
  </si>
  <si>
    <t xml:space="preserve">Materiały kalibracyjne i szkolenie oceniających filmy</t>
  </si>
  <si>
    <t xml:space="preserve">trzy filmy kotwiczne z rozpisaną punktacją, instrukcja oznaczania zastrzeżeń i spotkanie wprowadzające; droższe niż przy rozmowach, bo materiał kotwiczny trzeba obejrzeć, a nie przeczytać</t>
  </si>
  <si>
    <t xml:space="preserve">Panel oceniających: hosting, konta, obsługa odnośników</t>
  </si>
  <si>
    <t xml:space="preserve">filmów nie trzymamy u siebie, ale panel musi je kolejkować, odtwarzać z kanału autora i wyłapywać odnośniki, które przestały działać</t>
  </si>
  <si>
    <t xml:space="preserve">Wynagrodzenie oceniających</t>
  </si>
  <si>
    <t xml:space="preserve">Rezerwa</t>
  </si>
  <si>
    <t xml:space="preserve">JAK TO SIĘ SKALUJE</t>
  </si>
  <si>
    <t xml:space="preserve">Vouchery i honoraria za obejrzenia rosną wprost z liczbą zgłoszeń, więc sponsor płaci za wykonaną pracę, a nie za prognozę. Kolumna godzin liczy pracę akademii od liczby ODCZYTÓW, po przyjętym czasie jednego odczytu z zakładki Wyjaśnienia; ilu osób to wymaga, zależy od tego, ile godzin daje pojedynczy czytelnik, i tego tabela nie przesądza. Przy większych wolumenach nie modeluje też odrębnie trybu jednoosobowego, drugich odczytów poniżej progu ani audytu losowego - te trzy rzeczy trzeba policzyć osobno przed ogłoszeniem progu.</t>
  </si>
  <si>
    <t xml:space="preserve">Zgłoszeń w edycji</t>
  </si>
  <si>
    <t xml:space="preserve">Odczytów rozmów</t>
  </si>
  <si>
    <t xml:space="preserve">Voucherów</t>
  </si>
  <si>
    <t xml:space="preserve">Koszt voucherów</t>
  </si>
  <si>
    <t xml:space="preserve">Godzin pracy akademii</t>
  </si>
  <si>
    <t xml:space="preserve">Filmów w edycji</t>
  </si>
  <si>
    <t xml:space="preserve">Obejrzeń</t>
  </si>
  <si>
    <t xml:space="preserve">Honoraria za obejrzenia</t>
  </si>
  <si>
    <t xml:space="preserve">Godzin oglądania</t>
  </si>
  <si>
    <t xml:space="preserve">Potrzebnych oceniających</t>
  </si>
  <si>
    <t xml:space="preserve">Przy filmie granica jest twardsza niż przy rozmowach: 10 tys. zgłoszeń to 20 tys. obejrzeń i 40 tys. godzin oglądania, czyli praca, której nie da się kupić za honoraria. Zanim nabór filmu przekroczy kilkaset zgłoszeń, trzeba zmienić konstrukcję pierwszego przejścia, a nie mnożyć stawkę. Kolumna oceniających liczy ludzi od liczby OBEJRZEŃ, bo jednego filmu nie oglądają dwa razy te same oczy: przy 150 filmach to 300 obejrzeń i co najmniej 30 osób.</t>
  </si>
  <si>
    <t xml:space="preserve">AKADEMIA PIOSENKI I PLAKATU - PIERWSZE PRZEJŚCIE OCENY, DO USTALENIA</t>
  </si>
  <si>
    <t xml:space="preserve">Pierwsze przejście oceny w plebiscytach na piosenkę i na plakat należy do tego samego zakresu, co czytanie rozmów i oglądanie filmów, i do tego samego sponsora. Pozycje poniżej czekają na wycenę, dlatego stoją na zerze i nie wchodzą jeszcze do sum powyżej; po wpisaniu kwot trzeba je do nich dodać.</t>
  </si>
  <si>
    <t xml:space="preserve">Honorarium oceniających piosenki, za jeden odsłuch (netto)</t>
  </si>
  <si>
    <t xml:space="preserve">DO USTALENIA - dwa niezależne odsłuchy na jedno zgłoszenie, jak dwa odczyty rozmowy. Kotwica, nie decyzja: demo do pięciu minut wraz z kartą oceny to około 20 minut pracy, czyli około 50 zł przy stawce przyjętej dla oceniających filmy.</t>
  </si>
  <si>
    <t xml:space="preserve">Honorarium oceniających plakaty, za jedną ocenę (netto)</t>
  </si>
  <si>
    <t xml:space="preserve">DO USTALENIA - dwie niezależne oceny na jedno zgłoszenie. Kotwica, nie decyzja: reprodukcja wraz z kartą oceny to około 10 minut pracy, czyli około 25 zł przy tej samej stawce.</t>
  </si>
  <si>
    <t xml:space="preserve">Materiały kalibracyjne i szkolenie oceniających piosenki (netto)</t>
  </si>
  <si>
    <t xml:space="preserve">1</t>
  </si>
  <si>
    <t xml:space="preserve">DO WYCENY - trzy utwory kotwiczne z rozpisaną punktacją, instrukcja i spotkanie wprowadzające.</t>
  </si>
  <si>
    <t xml:space="preserve">Materiały kalibracyjne i szkolenie oceniających plakaty (netto)</t>
  </si>
  <si>
    <t xml:space="preserve">DO WYCENY - trzy prace kotwiczne z rozpisaną punktacją, instrukcja i spotkanie wprowadzające.</t>
  </si>
  <si>
    <t xml:space="preserve">Razem, po wycenie dodać do sum powyżej</t>
  </si>
  <si>
    <t xml:space="preserve">Finansuje: Partner wydawniczy / sponsor organizacyjny. Kwoty netto, chyba że napisano inaczej.</t>
  </si>
  <si>
    <t xml:space="preserve">Antologia: redakcja not jury i uzupełnienia</t>
  </si>
  <si>
    <t xml:space="preserve">noty pisze jury (§ 8 ust. 13a)</t>
  </si>
  <si>
    <t xml:space="preserve">Skład, korekta autorska, EPUB i PDF</t>
  </si>
  <si>
    <t xml:space="preserve">szablon przygotowany w styczniu</t>
  </si>
  <si>
    <t xml:space="preserve">Rozstrzyganie zgłoszeń oznaczonych przez oceniających</t>
  </si>
  <si>
    <t xml:space="preserve">Oznaczanie zastrzeżeń prawnych robi Akademia przy czytaniu (regulamin § 8 ust. 3a), bo skaluje się razem z naborem. Organizator rozstrzyga co do zgłoszeń oznaczonych oraz co do przypadków, w których otrzymał konkretny sygnał albo sam powziął wiadomość o problemie, wraz z zawiadomieniem uczestnika. Wpisane 4 minuty na zgłoszenie są uśrednieniem: przy części zgłoszeń nie ma nic do rozstrzygania, przy oznaczonych rozstrzygnięcie i korespondencja zajmują kilkadziesiąt minut.</t>
  </si>
  <si>
    <t xml:space="preserve">Publiczne archiwum rozmów na stronie</t>
  </si>
  <si>
    <t xml:space="preserve">generowanie stron z kopii, nawigacja, tryb redakcji fragmentów</t>
  </si>
  <si>
    <t xml:space="preserve">Koordynacja podcastu: goście, terminy, publikacja</t>
  </si>
  <si>
    <t xml:space="preserve">Koordynator wydania i moderacji I-IV 2028 (B2B)</t>
  </si>
  <si>
    <t xml:space="preserve">pełne zaangażowanie I-III 2028, moderacja archiwum i obsługa zgłoszeń przy dużym napływie</t>
  </si>
  <si>
    <t xml:space="preserve">Korekta językowa antologii</t>
  </si>
  <si>
    <t xml:space="preserve">korekta dziesięciu rozmów i not</t>
  </si>
  <si>
    <t xml:space="preserve">Skład i przygotowanie do druku (DTP)</t>
  </si>
  <si>
    <t xml:space="preserve">szablon plus obsługa wydania</t>
  </si>
  <si>
    <t xml:space="preserve">Krótki nakład antologii na galę (100 egz.)</t>
  </si>
  <si>
    <t xml:space="preserve">gwarantowany przez organizatora, niezależny od partnera wydawniczego; nakład handlowy jest po stronie partnera. Pozycja ponoszona wyłącznie wtedy, gdy wydanie księgarskie nie będzie gotowe na dzień gali - jeżeli partner dostarczy książkę na premierę, egzemplarze dla laureatów i jury pochodzą z jego nakładu. Przy 100 egzemplarzach egzemplarz obowiązkowy to 2 sztuki (Biblioteka Narodowa i Jagiellońska); powyżej 100 egzemplarzy ustawa wymaga 17 sztuk, co jest osobnym powodem, by nie przekraczać setki. ISBN dla tego druku nie jest potrzebny, bo nie trafia do sprzedaży.</t>
  </si>
  <si>
    <t xml:space="preserve">Nadanie ISBN i egzemplarz obowiązkowy</t>
  </si>
  <si>
    <t xml:space="preserve">nadanie bezpłatne</t>
  </si>
  <si>
    <t xml:space="preserve">Produkcja podcastu wraz z honorarium prowadzącego (24 odcinki)</t>
  </si>
  <si>
    <t xml:space="preserve">DO WYCENY - nagranie, montaż, dźwięk, wersja wideo i dystrybucja; honorarium prowadzącego nieustalone</t>
  </si>
  <si>
    <t xml:space="preserve">Produkcja audiobooka antologii (trzy głosy)</t>
  </si>
  <si>
    <t xml:space="preserve">około 10 godzin gotowego nagrania; trzej lektorzy - uczestnik, sztuczna inteligencja i komentarze jury - studio, montaż dialogowy i mastering</t>
  </si>
  <si>
    <t xml:space="preserve">Wynagrodzenie wykonawcy (20% od pracy) i rezerwa (10% od całości)</t>
  </si>
  <si>
    <t xml:space="preserve">wynagrodzenie liczone wyłącznie od pracy własnej; koszty zewnętrzne wchodzą bez narzutu</t>
  </si>
  <si>
    <t xml:space="preserve">Budżet Gali - gala rozstrzygnięcia pierwszej edycji</t>
  </si>
  <si>
    <t xml:space="preserve">Finansuje: Sponsor gali. Kwoty netto, chyba że napisano inaczej.</t>
  </si>
  <si>
    <t xml:space="preserve">Gala: organizacja, zdjęcia, wysyłki</t>
  </si>
  <si>
    <t xml:space="preserve">z koordynatorem po stronie B jest mniej</t>
  </si>
  <si>
    <t xml:space="preserve">Gala: sala, obsługa, poczęstunek</t>
  </si>
  <si>
    <t xml:space="preserve">do negocjacji z patronem instytucjonalnym</t>
  </si>
  <si>
    <t xml:space="preserve">Fotograf na gali</t>
  </si>
  <si>
    <t xml:space="preserve">zdjęcie grupowe i dokumentacja</t>
  </si>
  <si>
    <t xml:space="preserve">Przejazdy i noclegi jury</t>
  </si>
  <si>
    <t xml:space="preserve">zwrot kosztów</t>
  </si>
  <si>
    <t xml:space="preserve">Przejazdy i noclegi finalistów czterech plebiscytów na galę</t>
  </si>
  <si>
    <t xml:space="preserve">czterdziestu finalistów, po dziesięciu z każdego plebiscytu; przejazd i nocleg</t>
  </si>
  <si>
    <t xml:space="preserve">Oprawa artystyczna gali</t>
  </si>
  <si>
    <t xml:space="preserve">technika, nagłośnienie, światło, honoraria za występ - do wyceny po wyborze miejsca</t>
  </si>
  <si>
    <t xml:space="preserve">Rejestracja wideo i udostępnienie zapisu</t>
  </si>
  <si>
    <t xml:space="preserve">zapis udostępniany bezpłatnie - do wyceny</t>
  </si>
  <si>
    <t xml:space="preserve">Prowadzenie gali</t>
  </si>
  <si>
    <t xml:space="preserve">do wyceny</t>
  </si>
  <si>
    <t xml:space="preserve">Tantiemy dla organizacji zbiorowego zarządzania</t>
  </si>
  <si>
    <t xml:space="preserve">DO WYCENY - publiczne wykonanie muzyki na gali: hymn i trzy piosenki na żywo oraz muzyka w zwiastunach piątki filmów; obowiązek po stronie Organizatora, nieprzenoszony na uczestników (§ 12 ust. 2a regulaminu filmu)</t>
  </si>
  <si>
    <t xml:space="preserve">Rezerwa (od pracy i kosztów)</t>
  </si>
  <si>
    <t xml:space="preserve">Budżet Uruchomienia - fundacja, znak towarowy, strona i narzędzia</t>
  </si>
  <si>
    <t xml:space="preserve">Finansuje: Mecenas Założycielski. Kwoty netto, chyba że napisano inaczej.</t>
  </si>
  <si>
    <t xml:space="preserve">Pozycje wspólne całego przedsięwzięcia, wydzielone z Budżetu Antologii 30.10.2026. Służą czterem plebiscytom, akademii, gali i wystawie, a powstają raz i działają w kolejnych edycjach. Wydzielenie bierze się stąd, że obciążanie nimi jednego partnera czyniło jego ofertę nie do obrony.</t>
  </si>
  <si>
    <t xml:space="preserve">Skraper i kopia archiwalna zgłoszenia</t>
  </si>
  <si>
    <t xml:space="preserve">Narzędzie do oceny formalnej</t>
  </si>
  <si>
    <t xml:space="preserve">Panel oceny dla Akademii i jury</t>
  </si>
  <si>
    <t xml:space="preserve">Instalowalna wersja mobilna strony: powiadomienia i tryb bez sieci</t>
  </si>
  <si>
    <t xml:space="preserve">ta sama strona dodana do ekranu telefonu: manifest i instalacja, działanie bez sieci, pobranie audiobooka i e-booka do czytania oraz słuchania offline, powiadomienia o nowych zgłoszeniach wraz z obsługą subskrypcji po stronie serwera, testy na Androidzie i iPhonie</t>
  </si>
  <si>
    <t xml:space="preserve">Powołanie fundacji-organizatora</t>
  </si>
  <si>
    <t xml:space="preserve">około 1 000 zł opłat za usługi (taksa notarialna z wypisami, wpis do rejestru stowarzyszeń i do rejestru przedsiębiorców, ogłoszenie w MSiG) oraz 2 000 zł funduszu założycielskiego, z czego 1 000 zł na działalność gospodarczą (art. 5 ust. 5 ustawy o fundacjach); fundusz nie jest kosztem usługi, tylko majątkiem wnoszonym do fundacji</t>
  </si>
  <si>
    <t xml:space="preserve">Konsultacja prawna przed otwarciem naboru</t>
  </si>
  <si>
    <t xml:space="preserve">sześć obszarów, w tym licencja i archiwum; obowiązkowa przed naborem</t>
  </si>
  <si>
    <t xml:space="preserve">Domeny, poczta, hosting, magazyn kopii archiwalnych</t>
  </si>
  <si>
    <t xml:space="preserve">magazyn obiektowy w UE z kopią zapasową, retencja min. 5 lat, PDF/HTML/zrzuty/EPUB; w tym skrzynka pocztowa w domenie wraz z aliasami (kontakt@, imienny) - rzędu 150-450 zł rocznie, aliasy bez dopłaty; przejście na własną skrzynkę przenosi MX i wyłącza Cloudflare Email Routing</t>
  </si>
  <si>
    <t xml:space="preserve">Przebudowa strony: UI/UX i teksty (agencja)</t>
  </si>
  <si>
    <t xml:space="preserve">projekt i wdrożenie strony Nagrody wraz z copywritingiem</t>
  </si>
  <si>
    <t xml:space="preserve">Obsługa fundacji za pierwszy rok</t>
  </si>
  <si>
    <t xml:space="preserve">księgowość, sprawozdanie finansowe i sprawozdanie dla ministra nadzorującego</t>
  </si>
  <si>
    <t xml:space="preserve">Narzędzia AI i licencje oprogramowania (rok)</t>
  </si>
  <si>
    <t xml:space="preserve">Dostęp do narzędzi AI, bez których 1469 godzin pracy organizatora nie jest wykonalne; rzędu 2,5 tys. zł miesięcznie</t>
  </si>
  <si>
    <t xml:space="preserve">Rejestracja znaku towarowego Konstela w EUIPO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</si>
</sst>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zł&quot;"/>
    <numFmt numFmtId="166" formatCode="#,##0"/>
    <numFmt numFmtId="167" formatCode="0%"/>
    <numFmt numFmtId="168" formatCode="0"/>
  </numFmts>
  <fonts count="13">
    <font>
      <sz val="11"/>
      <color theme="1"/>
      <name val="Consola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4"/>
      <name val="Consolas"/>
      <family val="0"/>
      <charset val="1"/>
    </font>
    <font>
      <sz val="11"/>
      <color rgb="FF666666"/>
      <name val="Consolas"/>
      <family val="0"/>
      <charset val="1"/>
    </font>
    <font>
      <b val="true"/>
      <sz val="11"/>
      <color rgb="FF8A6A23"/>
      <name val="Consolas"/>
      <family val="0"/>
      <charset val="1"/>
    </font>
    <font>
      <b val="true"/>
      <sz val="11"/>
      <name val="Consolas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8A6A23"/>
      <name val="Cambria"/>
      <family val="0"/>
      <charset val="1"/>
    </font>
    <font>
      <sz val="11"/>
      <name val="Consolas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3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A23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45.4"/>
    <col collapsed="false" customWidth="true" hidden="false" outlineLevel="0" max="2" min="2" style="1" width="49.7"/>
    <col collapsed="false" customWidth="true" hidden="false" outlineLevel="0" max="3" min="3" style="1" width="62.6"/>
  </cols>
  <sheetData>
    <row r="1" customFormat="false" ht="17.25" hidden="false" customHeight="true" outlineLevel="0" collapsed="false">
      <c r="A1" s="2" t="s">
        <v>0</v>
      </c>
      <c r="B1" s="2"/>
      <c r="C1" s="2"/>
      <c r="D1" s="3"/>
      <c r="E1" s="3"/>
      <c r="F1" s="3"/>
      <c r="G1" s="3"/>
      <c r="H1" s="3"/>
    </row>
    <row r="2" customFormat="false" ht="15" hidden="false" customHeight="true" outlineLevel="0" collapsed="false">
      <c r="A2" s="4" t="s">
        <v>1</v>
      </c>
      <c r="B2" s="4"/>
      <c r="C2" s="4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5" t="s">
        <v>2</v>
      </c>
      <c r="B4" s="5"/>
      <c r="C4" s="5"/>
      <c r="D4" s="3"/>
      <c r="E4" s="3"/>
      <c r="F4" s="3"/>
      <c r="G4" s="3"/>
      <c r="H4" s="3"/>
    </row>
    <row r="5" customFormat="false" ht="15" hidden="false" customHeight="true" outlineLevel="0" collapsed="false">
      <c r="A5" s="6" t="s">
        <v>3</v>
      </c>
      <c r="B5" s="6" t="s">
        <v>4</v>
      </c>
      <c r="C5" s="7" t="s">
        <v>5</v>
      </c>
      <c r="D5" s="3"/>
      <c r="E5" s="3"/>
      <c r="F5" s="3"/>
      <c r="G5" s="3"/>
      <c r="H5" s="3"/>
    </row>
    <row r="6" customFormat="false" ht="15" hidden="false" customHeight="true" outlineLevel="0" collapsed="false">
      <c r="A6" s="3" t="s">
        <v>6</v>
      </c>
      <c r="B6" s="3" t="s">
        <v>7</v>
      </c>
      <c r="C6" s="8" t="n">
        <f aca="false">'Budżet Rozmowy z AI'!$D$39</f>
        <v>547809.76</v>
      </c>
      <c r="D6" s="3"/>
      <c r="E6" s="3"/>
      <c r="F6" s="3"/>
      <c r="G6" s="3"/>
      <c r="H6" s="3"/>
    </row>
    <row r="7" customFormat="false" ht="15" hidden="false" customHeight="true" outlineLevel="0" collapsed="false">
      <c r="A7" s="3" t="s">
        <v>8</v>
      </c>
      <c r="B7" s="3" t="s">
        <v>9</v>
      </c>
      <c r="C7" s="8" t="n">
        <f aca="false">'Budżet Piosenki'!$D$34</f>
        <v>265960</v>
      </c>
      <c r="D7" s="3"/>
      <c r="E7" s="3"/>
      <c r="F7" s="3"/>
      <c r="G7" s="3"/>
      <c r="H7" s="3"/>
    </row>
    <row r="8" customFormat="false" ht="15" hidden="false" customHeight="true" outlineLevel="0" collapsed="false">
      <c r="A8" s="3" t="s">
        <v>10</v>
      </c>
      <c r="B8" s="3" t="s">
        <v>11</v>
      </c>
      <c r="C8" s="8" t="n">
        <f aca="false">'Budżet Plakatu'!$D$37</f>
        <v>176032</v>
      </c>
      <c r="D8" s="3"/>
      <c r="E8" s="3"/>
      <c r="F8" s="3"/>
      <c r="G8" s="3"/>
      <c r="H8" s="3"/>
    </row>
    <row r="9" customFormat="false" ht="15" hidden="false" customHeight="true" outlineLevel="0" collapsed="false">
      <c r="A9" s="3" t="s">
        <v>12</v>
      </c>
      <c r="B9" s="3" t="s">
        <v>13</v>
      </c>
      <c r="C9" s="8" t="n">
        <f aca="false">'Budżet Filmu'!$D$39</f>
        <v>296776</v>
      </c>
    </row>
    <row r="10" customFormat="false" ht="15" hidden="false" customHeight="true" outlineLevel="0" collapsed="false">
      <c r="A10" s="6" t="s">
        <v>14</v>
      </c>
      <c r="B10" s="3" t="s">
        <v>15</v>
      </c>
      <c r="C10" s="9" t="n">
        <f aca="false">'Budżet Akademii'!$D$33</f>
        <v>160160</v>
      </c>
      <c r="D10" s="3"/>
      <c r="E10" s="3"/>
      <c r="F10" s="3"/>
      <c r="G10" s="3"/>
      <c r="H10" s="3"/>
    </row>
    <row r="11" customFormat="false" ht="15" hidden="false" customHeight="true" outlineLevel="0" collapsed="false">
      <c r="A11" s="6" t="s">
        <v>16</v>
      </c>
      <c r="B11" s="3" t="s">
        <v>17</v>
      </c>
      <c r="C11" s="9" t="n">
        <f aca="false">'Budżet Antologii'!$D$39</f>
        <v>162162</v>
      </c>
    </row>
    <row r="12" customFormat="false" ht="15" hidden="false" customHeight="true" outlineLevel="0" collapsed="false">
      <c r="A12" s="6" t="s">
        <v>18</v>
      </c>
      <c r="B12" s="3" t="s">
        <v>19</v>
      </c>
      <c r="C12" s="9" t="n">
        <f aca="false">'Budżet Gali'!$D$26</f>
        <v>62048</v>
      </c>
    </row>
    <row r="13" customFormat="false" ht="15" hidden="false" customHeight="true" outlineLevel="0" collapsed="false">
      <c r="A13" s="6" t="s">
        <v>20</v>
      </c>
      <c r="B13" s="3" t="s">
        <v>21</v>
      </c>
      <c r="C13" s="9" t="n">
        <f aca="false">'Budżet Uruchomienia'!$D$28</f>
        <v>183480</v>
      </c>
    </row>
    <row r="14" customFormat="false" ht="15" hidden="false" customHeight="true" outlineLevel="0" collapsed="false">
      <c r="A14" s="10" t="s">
        <v>22</v>
      </c>
      <c r="C14" s="11" t="n">
        <f aca="false">'Budżet Rozmowy z AI'!$D$39+'Budżet Gali'!$D$26+'Budżet Antologii'!$D$39+'Budżet Uruchomienia'!$D$28+'Budżet Piosenki'!$D$34+'Budżet Plakatu'!$D$37+'Budżet Akademii'!$D$33+'Budżet Filmu'!$D$39</f>
        <v>1854427.76</v>
      </c>
      <c r="D14" s="3"/>
      <c r="E14" s="3"/>
      <c r="F14" s="3"/>
      <c r="G14" s="3"/>
      <c r="H14" s="3"/>
    </row>
    <row r="15" customFormat="false" ht="15" hidden="false" customHeight="true" outlineLevel="0" collapsed="false">
      <c r="A15" s="5" t="s">
        <v>23</v>
      </c>
      <c r="B15" s="5"/>
      <c r="C15" s="5"/>
      <c r="D15" s="3"/>
      <c r="E15" s="3"/>
      <c r="F15" s="3"/>
      <c r="G15" s="3"/>
      <c r="H15" s="3"/>
    </row>
    <row r="16" customFormat="false" ht="15" hidden="false" customHeight="true" outlineLevel="0" collapsed="false">
      <c r="A16" s="4" t="s">
        <v>24</v>
      </c>
      <c r="B16" s="4"/>
      <c r="C16" s="4"/>
      <c r="D16" s="3"/>
      <c r="E16" s="3"/>
      <c r="F16" s="3"/>
      <c r="G16" s="3"/>
      <c r="H16" s="3"/>
    </row>
    <row r="17" customFormat="false" ht="15" hidden="false" customHeight="true" outlineLevel="0" collapsed="false">
      <c r="A17" s="3" t="s">
        <v>25</v>
      </c>
      <c r="B17" s="12" t="n">
        <v>220</v>
      </c>
      <c r="C17" s="13" t="s">
        <v>26</v>
      </c>
      <c r="D17" s="3"/>
      <c r="E17" s="3"/>
      <c r="F17" s="3"/>
      <c r="G17" s="3"/>
      <c r="H17" s="3"/>
    </row>
    <row r="18" customFormat="false" ht="15" hidden="false" customHeight="true" outlineLevel="0" collapsed="false">
      <c r="A18" s="3" t="s">
        <v>27</v>
      </c>
      <c r="B18" s="12" t="n">
        <v>150</v>
      </c>
      <c r="C18" s="13" t="s">
        <v>28</v>
      </c>
      <c r="D18" s="3"/>
      <c r="E18" s="3"/>
      <c r="F18" s="3"/>
      <c r="G18" s="3"/>
      <c r="H18" s="3"/>
    </row>
    <row r="19" customFormat="false" ht="15" hidden="false" customHeight="true" outlineLevel="0" collapsed="false">
      <c r="A19" s="3" t="s">
        <v>29</v>
      </c>
      <c r="B19" s="12" t="n">
        <v>300000</v>
      </c>
      <c r="C19" s="13" t="s">
        <v>30</v>
      </c>
      <c r="D19" s="3"/>
      <c r="E19" s="3"/>
      <c r="F19" s="3"/>
      <c r="G19" s="3"/>
      <c r="H19" s="3"/>
    </row>
    <row r="20" customFormat="false" ht="15" hidden="false" customHeight="true" outlineLevel="0" collapsed="false">
      <c r="A20" s="3" t="s">
        <v>31</v>
      </c>
      <c r="B20" s="12" t="n">
        <v>3000</v>
      </c>
      <c r="C20" s="13" t="s">
        <v>32</v>
      </c>
      <c r="D20" s="3"/>
      <c r="E20" s="3"/>
      <c r="F20" s="3"/>
      <c r="G20" s="3"/>
      <c r="H20" s="3"/>
    </row>
    <row r="21" customFormat="false" ht="15" hidden="false" customHeight="true" outlineLevel="0" collapsed="false">
      <c r="A21" s="3" t="s">
        <v>33</v>
      </c>
      <c r="B21" s="12" t="n">
        <v>7</v>
      </c>
      <c r="C21" s="13" t="s">
        <v>34</v>
      </c>
      <c r="D21" s="3"/>
      <c r="E21" s="3"/>
      <c r="F21" s="3"/>
      <c r="G21" s="3"/>
      <c r="H21" s="3"/>
    </row>
    <row r="22" customFormat="false" ht="15" hidden="false" customHeight="true" outlineLevel="0" collapsed="false">
      <c r="A22" s="3" t="s">
        <v>35</v>
      </c>
      <c r="B22" s="12" t="n">
        <v>40000</v>
      </c>
      <c r="C22" s="13" t="s">
        <v>36</v>
      </c>
    </row>
    <row r="23" customFormat="false" ht="15" hidden="false" customHeight="true" outlineLevel="0" collapsed="false">
      <c r="A23" s="3" t="s">
        <v>37</v>
      </c>
      <c r="B23" s="12" t="n">
        <v>10000</v>
      </c>
      <c r="C23" s="13" t="s">
        <v>38</v>
      </c>
    </row>
    <row r="24" customFormat="false" ht="15" hidden="false" customHeight="true" outlineLevel="0" collapsed="false">
      <c r="A24" s="3" t="s">
        <v>39</v>
      </c>
      <c r="B24" s="12" t="n">
        <v>150</v>
      </c>
      <c r="C24" s="13" t="s">
        <v>40</v>
      </c>
      <c r="D24" s="3"/>
      <c r="E24" s="3"/>
      <c r="F24" s="3"/>
      <c r="G24" s="3"/>
      <c r="H24" s="3"/>
    </row>
    <row r="25" customFormat="false" ht="15" hidden="false" customHeight="true" outlineLevel="0" collapsed="false">
      <c r="A25" s="3" t="s">
        <v>41</v>
      </c>
      <c r="B25" s="12" t="n">
        <v>35000</v>
      </c>
      <c r="C25" s="13" t="s">
        <v>42</v>
      </c>
      <c r="D25" s="3"/>
      <c r="E25" s="3"/>
      <c r="F25" s="3"/>
      <c r="G25" s="3"/>
      <c r="H25" s="3"/>
    </row>
    <row r="26" customFormat="false" ht="15" hidden="false" customHeight="true" outlineLevel="0" collapsed="false">
      <c r="A26" s="3" t="s">
        <v>43</v>
      </c>
      <c r="B26" s="12" t="n">
        <v>12000</v>
      </c>
      <c r="C26" s="13" t="s">
        <v>44</v>
      </c>
      <c r="D26" s="3"/>
      <c r="E26" s="3"/>
      <c r="F26" s="3"/>
      <c r="G26" s="3"/>
      <c r="H26" s="3"/>
    </row>
    <row r="27" customFormat="false" ht="15" hidden="false" customHeight="true" outlineLevel="0" collapsed="false">
      <c r="A27" s="3" t="s">
        <v>45</v>
      </c>
      <c r="B27" s="12" t="n">
        <v>12000</v>
      </c>
      <c r="C27" s="1" t="s">
        <v>46</v>
      </c>
    </row>
    <row r="28" customFormat="false" ht="15" hidden="false" customHeight="true" outlineLevel="0" collapsed="false">
      <c r="A28" s="3" t="s">
        <v>47</v>
      </c>
      <c r="B28" s="12" t="n">
        <v>7500</v>
      </c>
      <c r="C28" s="13" t="s">
        <v>48</v>
      </c>
      <c r="D28" s="3"/>
      <c r="E28" s="3"/>
      <c r="F28" s="3"/>
      <c r="G28" s="3"/>
      <c r="H28" s="3"/>
    </row>
    <row r="29" customFormat="false" ht="15" hidden="false" customHeight="true" outlineLevel="0" collapsed="false">
      <c r="A29" s="3" t="s">
        <v>49</v>
      </c>
      <c r="B29" s="12" t="n">
        <v>10</v>
      </c>
      <c r="C29" s="13" t="s">
        <v>50</v>
      </c>
      <c r="D29" s="3"/>
      <c r="E29" s="3"/>
      <c r="F29" s="3"/>
      <c r="G29" s="3"/>
      <c r="H29" s="3"/>
    </row>
    <row r="30" customFormat="false" ht="15" hidden="false" customHeight="true" outlineLevel="0" collapsed="false">
      <c r="A30" s="3" t="s">
        <v>51</v>
      </c>
      <c r="B30" s="12" t="n">
        <v>80000</v>
      </c>
      <c r="C30" s="13" t="s">
        <v>52</v>
      </c>
      <c r="D30" s="3"/>
      <c r="E30" s="3"/>
      <c r="F30" s="3"/>
      <c r="G30" s="3"/>
      <c r="H30" s="3"/>
    </row>
    <row r="31" customFormat="false" ht="15" hidden="false" customHeight="true" outlineLevel="0" collapsed="false">
      <c r="A31" s="3" t="s">
        <v>53</v>
      </c>
      <c r="B31" s="12" t="n">
        <v>1200</v>
      </c>
      <c r="C31" s="13" t="s">
        <v>54</v>
      </c>
      <c r="D31" s="3"/>
      <c r="E31" s="3"/>
      <c r="F31" s="3"/>
      <c r="G31" s="3"/>
      <c r="H31" s="3"/>
    </row>
    <row r="32" customFormat="false" ht="15" hidden="false" customHeight="true" outlineLevel="0" collapsed="false">
      <c r="A32" s="3" t="s">
        <v>55</v>
      </c>
      <c r="B32" s="14" t="n">
        <v>0.12</v>
      </c>
      <c r="C32" s="13" t="s">
        <v>56</v>
      </c>
      <c r="D32" s="3"/>
      <c r="E32" s="3"/>
      <c r="F32" s="3"/>
      <c r="G32" s="3"/>
      <c r="H32" s="3"/>
    </row>
    <row r="33" customFormat="false" ht="15" hidden="false" customHeight="true" outlineLevel="0" collapsed="false">
      <c r="A33" s="3" t="s">
        <v>57</v>
      </c>
      <c r="B33" s="14" t="n">
        <v>0.2</v>
      </c>
      <c r="C33" s="13" t="s">
        <v>58</v>
      </c>
      <c r="D33" s="3"/>
      <c r="E33" s="3"/>
      <c r="F33" s="3"/>
      <c r="G33" s="3"/>
      <c r="H33" s="3"/>
    </row>
    <row r="34" customFormat="false" ht="15" hidden="false" customHeight="true" outlineLevel="0" collapsed="false">
      <c r="A34" s="3" t="s">
        <v>59</v>
      </c>
      <c r="B34" s="14" t="n">
        <v>0.12</v>
      </c>
      <c r="C34" s="13" t="s">
        <v>56</v>
      </c>
      <c r="D34" s="3"/>
      <c r="E34" s="3"/>
      <c r="F34" s="3"/>
      <c r="G34" s="3"/>
      <c r="H34" s="3"/>
    </row>
    <row r="35" customFormat="false" ht="15" hidden="false" customHeight="true" outlineLevel="0" collapsed="false">
      <c r="A35" s="3" t="s">
        <v>60</v>
      </c>
      <c r="B35" s="14" t="n">
        <v>0.23</v>
      </c>
      <c r="C35" s="13" t="s">
        <v>61</v>
      </c>
      <c r="D35" s="3"/>
      <c r="E35" s="3"/>
      <c r="F35" s="3"/>
      <c r="G35" s="3"/>
      <c r="H35" s="3"/>
    </row>
    <row r="36" customFormat="false" ht="15" hidden="false" customHeight="true" outlineLevel="0" collapsed="false">
      <c r="A36" s="3" t="s">
        <v>62</v>
      </c>
      <c r="D36" s="3"/>
      <c r="E36" s="3"/>
      <c r="F36" s="3"/>
      <c r="G36" s="3"/>
      <c r="H36" s="3"/>
    </row>
    <row r="37" customFormat="false" ht="15" hidden="false" customHeight="true" outlineLevel="0" collapsed="false">
      <c r="A37" s="3"/>
      <c r="D37" s="3"/>
      <c r="E37" s="3"/>
      <c r="F37" s="3"/>
      <c r="G37" s="3"/>
      <c r="H37" s="3"/>
    </row>
    <row r="38" customFormat="false" ht="15" hidden="false" customHeight="true" outlineLevel="0" collapsed="false">
      <c r="A38" s="5" t="s">
        <v>63</v>
      </c>
      <c r="B38" s="5"/>
      <c r="C38" s="5"/>
      <c r="D38" s="3"/>
      <c r="E38" s="3"/>
      <c r="F38" s="3"/>
      <c r="G38" s="3"/>
      <c r="H38" s="3"/>
    </row>
    <row r="39" customFormat="false" ht="15" hidden="false" customHeight="true" outlineLevel="0" collapsed="false">
      <c r="A39" s="15" t="s">
        <v>64</v>
      </c>
      <c r="B39" s="15"/>
      <c r="C39" s="15"/>
      <c r="D39" s="3"/>
      <c r="E39" s="3"/>
      <c r="F39" s="3"/>
      <c r="G39" s="3"/>
      <c r="H39" s="3"/>
    </row>
    <row r="40" customFormat="false" ht="15" hidden="false" customHeight="true" outlineLevel="0" collapsed="false">
      <c r="A40" s="15" t="s">
        <v>65</v>
      </c>
      <c r="B40" s="15"/>
      <c r="C40" s="15"/>
      <c r="D40" s="3"/>
      <c r="E40" s="3"/>
      <c r="F40" s="3"/>
      <c r="G40" s="3"/>
      <c r="H40" s="3"/>
    </row>
    <row r="41" customFormat="false" ht="15" hidden="false" customHeight="true" outlineLevel="0" collapsed="false">
      <c r="A41" s="4" t="s">
        <v>66</v>
      </c>
      <c r="B41" s="4"/>
      <c r="C41" s="4"/>
      <c r="D41" s="3"/>
      <c r="E41" s="3"/>
      <c r="F41" s="3"/>
      <c r="G41" s="3"/>
      <c r="H41" s="3"/>
    </row>
    <row r="42" customFormat="false" ht="15" hidden="false" customHeight="true" outlineLevel="0" collapsed="false">
      <c r="A42" s="3"/>
      <c r="D42" s="3"/>
      <c r="E42" s="3"/>
      <c r="F42" s="3"/>
      <c r="G42" s="3"/>
      <c r="H42" s="3"/>
    </row>
    <row r="43" customFormat="false" ht="15" hidden="false" customHeight="true" outlineLevel="0" collapsed="false">
      <c r="A43" s="5" t="s">
        <v>67</v>
      </c>
      <c r="B43" s="5"/>
      <c r="C43" s="5"/>
      <c r="D43" s="3"/>
      <c r="E43" s="3"/>
      <c r="F43" s="3"/>
      <c r="G43" s="3"/>
      <c r="H43" s="3"/>
    </row>
    <row r="44" customFormat="false" ht="15" hidden="false" customHeight="true" outlineLevel="0" collapsed="false">
      <c r="A44" s="4" t="s">
        <v>68</v>
      </c>
      <c r="B44" s="4"/>
      <c r="C44" s="4"/>
      <c r="D44" s="3"/>
      <c r="E44" s="3"/>
      <c r="F44" s="3"/>
      <c r="G44" s="3"/>
      <c r="H44" s="3"/>
    </row>
    <row r="45" customFormat="false" ht="15" hidden="false" customHeight="true" outlineLevel="0" collapsed="false">
      <c r="A45" s="4" t="s">
        <v>69</v>
      </c>
      <c r="B45" s="4"/>
      <c r="C45" s="4"/>
      <c r="D45" s="3"/>
      <c r="E45" s="3"/>
      <c r="F45" s="3"/>
      <c r="G45" s="3"/>
      <c r="H45" s="3"/>
    </row>
    <row r="46" customFormat="false" ht="15" hidden="false" customHeight="true" outlineLevel="0" collapsed="false">
      <c r="A46" s="16" t="s">
        <v>70</v>
      </c>
      <c r="B46" s="16"/>
      <c r="C46" s="16"/>
    </row>
    <row r="47" customFormat="false" ht="15" hidden="false" customHeight="true" outlineLevel="0" collapsed="false">
      <c r="A47" s="17" t="s">
        <v>71</v>
      </c>
      <c r="B47" s="17"/>
      <c r="C47" s="17"/>
    </row>
    <row r="48" customFormat="false" ht="15" hidden="false" customHeight="true" outlineLevel="0" collapsed="false">
      <c r="A48" s="3" t="s">
        <v>72</v>
      </c>
      <c r="B48" s="12" t="n">
        <v>2</v>
      </c>
      <c r="C48" s="3" t="s">
        <v>73</v>
      </c>
    </row>
    <row r="49" customFormat="false" ht="15" hidden="false" customHeight="true" outlineLevel="0" collapsed="false">
      <c r="A49" s="3" t="s">
        <v>74</v>
      </c>
      <c r="B49" s="18" t="n">
        <v>500</v>
      </c>
      <c r="C49" s="3" t="s">
        <v>75</v>
      </c>
    </row>
    <row r="50" customFormat="false" ht="15" hidden="false" customHeight="true" outlineLevel="0" collapsed="false">
      <c r="A50" s="3" t="s">
        <v>76</v>
      </c>
      <c r="B50" s="18" t="n">
        <v>2500</v>
      </c>
      <c r="C50" s="3" t="s">
        <v>77</v>
      </c>
    </row>
    <row r="51" customFormat="false" ht="15" hidden="false" customHeight="true" outlineLevel="0" collapsed="false">
      <c r="A51" s="3" t="s">
        <v>78</v>
      </c>
      <c r="B51" s="12" t="n">
        <v>15</v>
      </c>
      <c r="C51" s="3" t="s">
        <v>79</v>
      </c>
    </row>
    <row r="52" customFormat="false" ht="15" hidden="false" customHeight="true" outlineLevel="0" collapsed="false">
      <c r="A52" s="3" t="s">
        <v>80</v>
      </c>
      <c r="B52" s="19" t="n">
        <v>30</v>
      </c>
    </row>
    <row r="53" customFormat="false" ht="15" hidden="false" customHeight="true" outlineLevel="0" collapsed="false"/>
    <row r="54" customFormat="false" ht="15" hidden="false" customHeight="true" outlineLevel="0" collapsed="false">
      <c r="A54" s="20" t="s">
        <v>81</v>
      </c>
      <c r="B54" s="20"/>
      <c r="C54" s="20"/>
    </row>
    <row r="55" customFormat="false" ht="15" hidden="false" customHeight="true" outlineLevel="0" collapsed="false">
      <c r="A55" s="1" t="s">
        <v>82</v>
      </c>
      <c r="B55" s="21" t="n">
        <v>150</v>
      </c>
      <c r="C55" s="1" t="s">
        <v>83</v>
      </c>
    </row>
    <row r="56" customFormat="false" ht="15" hidden="false" customHeight="true" outlineLevel="0" collapsed="false">
      <c r="A56" s="1" t="s">
        <v>84</v>
      </c>
      <c r="B56" s="18" t="n">
        <v>90000</v>
      </c>
      <c r="C56" s="1" t="s">
        <v>85</v>
      </c>
    </row>
    <row r="57" customFormat="false" ht="15" hidden="false" customHeight="true" outlineLevel="0" collapsed="false">
      <c r="A57" s="1" t="s">
        <v>86</v>
      </c>
      <c r="B57" s="18" t="n">
        <v>12000</v>
      </c>
      <c r="C57" s="1" t="s">
        <v>87</v>
      </c>
    </row>
    <row r="58" customFormat="false" ht="15" hidden="false" customHeight="true" outlineLevel="0" collapsed="false">
      <c r="A58" s="1" t="s">
        <v>88</v>
      </c>
      <c r="B58" s="18" t="n">
        <v>1200</v>
      </c>
      <c r="C58" s="1" t="s">
        <v>54</v>
      </c>
    </row>
    <row r="59" customFormat="false" ht="15" hidden="false" customHeight="true" outlineLevel="0" collapsed="false">
      <c r="A59" s="1" t="s">
        <v>89</v>
      </c>
      <c r="B59" s="21" t="n">
        <v>5</v>
      </c>
      <c r="C59" s="1" t="s">
        <v>90</v>
      </c>
    </row>
    <row r="60" customFormat="false" ht="15" hidden="false" customHeight="true" outlineLevel="0" collapsed="false">
      <c r="A60" s="1" t="s">
        <v>91</v>
      </c>
      <c r="B60" s="21" t="n">
        <v>10</v>
      </c>
      <c r="C60" s="1" t="s">
        <v>92</v>
      </c>
    </row>
    <row r="61" customFormat="false" ht="15" hidden="false" customHeight="true" outlineLevel="0" collapsed="false">
      <c r="A61" s="1" t="s">
        <v>93</v>
      </c>
      <c r="B61" s="18" t="n">
        <v>290</v>
      </c>
      <c r="C61" s="1" t="s">
        <v>94</v>
      </c>
    </row>
    <row r="62" customFormat="false" ht="15" hidden="false" customHeight="true" outlineLevel="0" collapsed="false">
      <c r="A62" s="1" t="s">
        <v>95</v>
      </c>
      <c r="B62" s="21" t="n">
        <v>10</v>
      </c>
      <c r="C62" s="1" t="s">
        <v>96</v>
      </c>
    </row>
    <row r="63" customFormat="false" ht="15" hidden="false" customHeight="true" outlineLevel="0" collapsed="false">
      <c r="A63" s="1" t="s">
        <v>97</v>
      </c>
      <c r="B63" s="18" t="n">
        <v>400</v>
      </c>
      <c r="C63" s="1" t="s">
        <v>98</v>
      </c>
    </row>
    <row r="64" customFormat="false" ht="15" hidden="false" customHeight="true" outlineLevel="0" collapsed="false">
      <c r="A64" s="1" t="s">
        <v>99</v>
      </c>
      <c r="B64" s="18" t="n">
        <v>3000</v>
      </c>
      <c r="C64" s="1" t="s">
        <v>100</v>
      </c>
    </row>
    <row r="65" customFormat="false" ht="15" hidden="false" customHeight="true" outlineLevel="0" collapsed="false">
      <c r="A65" s="1" t="s">
        <v>101</v>
      </c>
      <c r="B65" s="18" t="n">
        <v>0.12</v>
      </c>
      <c r="C65" s="1" t="s">
        <v>56</v>
      </c>
    </row>
    <row r="66" customFormat="false" ht="15" hidden="false" customHeight="true" outlineLevel="0" collapsed="false"/>
    <row r="67" customFormat="false" ht="15" hidden="false" customHeight="true" outlineLevel="0" collapsed="false">
      <c r="A67" s="20" t="s">
        <v>102</v>
      </c>
      <c r="B67" s="20"/>
      <c r="C67" s="20"/>
    </row>
    <row r="68" customFormat="false" ht="15" hidden="false" customHeight="true" outlineLevel="0" collapsed="false">
      <c r="A68" s="1" t="s">
        <v>103</v>
      </c>
      <c r="B68" s="12" t="n">
        <v>150</v>
      </c>
      <c r="C68" s="1" t="s">
        <v>104</v>
      </c>
    </row>
    <row r="69" customFormat="false" ht="15" hidden="false" customHeight="true" outlineLevel="0" collapsed="false">
      <c r="A69" s="1" t="s">
        <v>105</v>
      </c>
      <c r="B69" s="12" t="n">
        <v>180000</v>
      </c>
      <c r="C69" s="1" t="s">
        <v>106</v>
      </c>
    </row>
    <row r="70" customFormat="false" ht="15" hidden="false" customHeight="true" outlineLevel="0" collapsed="false">
      <c r="A70" s="1" t="s">
        <v>107</v>
      </c>
      <c r="B70" s="12" t="n">
        <v>12000</v>
      </c>
      <c r="C70" s="1" t="s">
        <v>108</v>
      </c>
    </row>
    <row r="71" customFormat="false" ht="15" hidden="false" customHeight="true" outlineLevel="0" collapsed="false">
      <c r="A71" s="1" t="s">
        <v>109</v>
      </c>
      <c r="B71" s="12" t="n">
        <v>1200</v>
      </c>
      <c r="C71" s="1" t="s">
        <v>110</v>
      </c>
    </row>
    <row r="72" customFormat="false" ht="15" hidden="false" customHeight="true" outlineLevel="0" collapsed="false">
      <c r="A72" s="1" t="s">
        <v>111</v>
      </c>
      <c r="B72" s="12" t="n">
        <v>10</v>
      </c>
      <c r="C72" s="1" t="s">
        <v>112</v>
      </c>
    </row>
    <row r="73" customFormat="false" ht="15" hidden="false" customHeight="true" outlineLevel="0" collapsed="false">
      <c r="A73" s="1" t="s">
        <v>113</v>
      </c>
      <c r="B73" s="12" t="n">
        <v>5</v>
      </c>
      <c r="C73" s="1" t="s">
        <v>114</v>
      </c>
    </row>
    <row r="74" customFormat="false" ht="15" hidden="false" customHeight="true" outlineLevel="0" collapsed="false">
      <c r="A74" s="1" t="s">
        <v>115</v>
      </c>
      <c r="B74" s="12" t="n">
        <v>40</v>
      </c>
      <c r="C74" s="1" t="s">
        <v>116</v>
      </c>
    </row>
    <row r="75" customFormat="false" ht="15" hidden="false" customHeight="true" outlineLevel="0" collapsed="false">
      <c r="A75" s="1" t="s">
        <v>117</v>
      </c>
      <c r="B75" s="12" t="n">
        <v>290</v>
      </c>
      <c r="C75" s="1" t="s">
        <v>94</v>
      </c>
    </row>
    <row r="76" customFormat="false" ht="15" hidden="false" customHeight="true" outlineLevel="0" collapsed="false">
      <c r="A76" s="1" t="s">
        <v>118</v>
      </c>
      <c r="B76" s="12" t="n">
        <v>0.12</v>
      </c>
      <c r="C76" s="1" t="s">
        <v>119</v>
      </c>
    </row>
    <row r="77" customFormat="false" ht="15" hidden="false" customHeight="true" outlineLevel="0" collapsed="false">
      <c r="A77" s="1" t="s">
        <v>120</v>
      </c>
      <c r="B77" s="12" t="n">
        <v>2</v>
      </c>
      <c r="C77" s="1" t="s">
        <v>121</v>
      </c>
    </row>
    <row r="78" customFormat="false" ht="15" hidden="false" customHeight="true" outlineLevel="0" collapsed="false">
      <c r="A78" s="1" t="s">
        <v>122</v>
      </c>
      <c r="B78" s="12" t="n">
        <v>300</v>
      </c>
      <c r="C78" s="1" t="s">
        <v>123</v>
      </c>
    </row>
    <row r="79" customFormat="false" ht="15" hidden="false" customHeight="true" outlineLevel="0" collapsed="false">
      <c r="A79" s="1" t="s">
        <v>124</v>
      </c>
      <c r="B79" s="12" t="n">
        <v>10</v>
      </c>
      <c r="C79" s="1" t="s">
        <v>125</v>
      </c>
    </row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</sheetData>
  <mergeCells count="16">
    <mergeCell ref="A1:C1"/>
    <mergeCell ref="A2:C2"/>
    <mergeCell ref="A4:C4"/>
    <mergeCell ref="A15:C15"/>
    <mergeCell ref="A16:C16"/>
    <mergeCell ref="A38:C38"/>
    <mergeCell ref="A39:C39"/>
    <mergeCell ref="A40:C40"/>
    <mergeCell ref="A41:C41"/>
    <mergeCell ref="A43:C43"/>
    <mergeCell ref="A44:C44"/>
    <mergeCell ref="A45:C45"/>
    <mergeCell ref="A46:C46"/>
    <mergeCell ref="A47:C47"/>
    <mergeCell ref="A54:C54"/>
    <mergeCell ref="A67:C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2"/>
    <col collapsed="false" customWidth="true" hidden="false" outlineLevel="0" max="7" min="7" style="3" width="11"/>
  </cols>
  <sheetData>
    <row r="1" customFormat="false" ht="17.25" hidden="false" customHeight="true" outlineLevel="0" collapsed="false">
      <c r="A1" s="2" t="s">
        <v>6</v>
      </c>
      <c r="B1" s="2"/>
      <c r="C1" s="2"/>
      <c r="D1" s="2"/>
      <c r="E1" s="2"/>
      <c r="F1" s="2"/>
      <c r="G1" s="2"/>
      <c r="H1" s="3"/>
    </row>
    <row r="2" customFormat="false" ht="15" hidden="false" customHeight="true" outlineLevel="0" collapsed="false">
      <c r="A2" s="4" t="s">
        <v>126</v>
      </c>
      <c r="B2" s="4"/>
      <c r="C2" s="4"/>
      <c r="D2" s="4"/>
      <c r="E2" s="4"/>
      <c r="F2" s="4"/>
      <c r="G2" s="4"/>
      <c r="H2" s="3"/>
    </row>
    <row r="3" customFormat="false" ht="15" hidden="false" customHeight="true" outlineLevel="0" collapsed="false">
      <c r="A3" s="4" t="s">
        <v>127</v>
      </c>
      <c r="B3" s="4"/>
      <c r="C3" s="4"/>
      <c r="D3" s="4"/>
      <c r="E3" s="4"/>
      <c r="F3" s="4"/>
      <c r="G3" s="4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H4" s="3"/>
    </row>
    <row r="5" customFormat="false" ht="15" hidden="false" customHeight="true" outlineLevel="0" collapsed="false">
      <c r="A5" s="5" t="s">
        <v>128</v>
      </c>
      <c r="B5" s="5"/>
      <c r="C5" s="5"/>
      <c r="D5" s="5"/>
      <c r="E5" s="5"/>
      <c r="F5" s="5"/>
      <c r="G5" s="5"/>
      <c r="H5" s="3"/>
    </row>
    <row r="6" customFormat="false" ht="15" hidden="false" customHeight="true" outlineLevel="0" collapsed="false">
      <c r="A6" s="6" t="s">
        <v>129</v>
      </c>
      <c r="B6" s="7" t="s">
        <v>130</v>
      </c>
      <c r="C6" s="7" t="s">
        <v>131</v>
      </c>
      <c r="D6" s="7" t="s">
        <v>132</v>
      </c>
      <c r="E6" s="7" t="s">
        <v>133</v>
      </c>
      <c r="F6" s="6" t="s">
        <v>134</v>
      </c>
      <c r="G6" s="6" t="s">
        <v>135</v>
      </c>
      <c r="H6" s="3"/>
    </row>
    <row r="7" customFormat="false" ht="15" hidden="false" customHeight="true" outlineLevel="0" collapsed="false">
      <c r="A7" s="22" t="s">
        <v>136</v>
      </c>
      <c r="B7" s="23" t="n">
        <v>60</v>
      </c>
      <c r="C7" s="23" t="n">
        <v>0</v>
      </c>
      <c r="D7" s="24" t="n">
        <f aca="false">B7+C7*Wyjaśnienia!$B$18/60</f>
        <v>60</v>
      </c>
      <c r="E7" s="25" t="n">
        <f aca="false">D7*Wyjaśnienia!$B$17</f>
        <v>13200</v>
      </c>
      <c r="F7" s="13" t="s">
        <v>137</v>
      </c>
      <c r="G7" s="26" t="s">
        <v>138</v>
      </c>
      <c r="H7" s="3"/>
    </row>
    <row r="8" customFormat="false" ht="15" hidden="false" customHeight="true" outlineLevel="0" collapsed="false">
      <c r="A8" s="22" t="s">
        <v>139</v>
      </c>
      <c r="B8" s="23" t="n">
        <v>24</v>
      </c>
      <c r="C8" s="23" t="n">
        <v>0</v>
      </c>
      <c r="D8" s="24" t="n">
        <f aca="false">B8+C8*Wyjaśnienia!$B$18/60</f>
        <v>24</v>
      </c>
      <c r="E8" s="25" t="n">
        <f aca="false">D8*Wyjaśnienia!$B$17</f>
        <v>5280</v>
      </c>
      <c r="F8" s="13" t="s">
        <v>140</v>
      </c>
      <c r="G8" s="26" t="s">
        <v>138</v>
      </c>
      <c r="H8" s="3"/>
    </row>
    <row r="9" customFormat="false" ht="15" hidden="false" customHeight="true" outlineLevel="0" collapsed="false">
      <c r="A9" s="22" t="s">
        <v>141</v>
      </c>
      <c r="B9" s="23" t="n">
        <v>50</v>
      </c>
      <c r="C9" s="23" t="n">
        <v>0</v>
      </c>
      <c r="D9" s="24" t="n">
        <f aca="false">B9+C9*Wyjaśnienia!$B$18/60</f>
        <v>50</v>
      </c>
      <c r="E9" s="25" t="n">
        <f aca="false">D9*Wyjaśnienia!$B$17</f>
        <v>11000</v>
      </c>
      <c r="F9" s="13" t="s">
        <v>142</v>
      </c>
      <c r="G9" s="26" t="s">
        <v>138</v>
      </c>
      <c r="H9" s="3"/>
    </row>
    <row r="10" customFormat="false" ht="15" hidden="false" customHeight="true" outlineLevel="0" collapsed="false">
      <c r="A10" s="22" t="s">
        <v>143</v>
      </c>
      <c r="B10" s="23" t="n">
        <v>8</v>
      </c>
      <c r="C10" s="23" t="n">
        <v>6</v>
      </c>
      <c r="D10" s="24" t="n">
        <f aca="false">B10+C10*Wyjaśnienia!$B$18/60</f>
        <v>23</v>
      </c>
      <c r="E10" s="25" t="n">
        <f aca="false">D10*Wyjaśnienia!$B$17</f>
        <v>5060</v>
      </c>
      <c r="F10" s="13" t="s">
        <v>144</v>
      </c>
      <c r="G10" s="26" t="s">
        <v>138</v>
      </c>
      <c r="H10" s="3"/>
    </row>
    <row r="11" customFormat="false" ht="15" hidden="false" customHeight="true" outlineLevel="0" collapsed="false">
      <c r="A11" s="22" t="s">
        <v>145</v>
      </c>
      <c r="B11" s="23" t="n">
        <v>10</v>
      </c>
      <c r="C11" s="23" t="n">
        <v>4</v>
      </c>
      <c r="D11" s="24" t="n">
        <f aca="false">B11+C11*Wyjaśnienia!$B$18/60</f>
        <v>20</v>
      </c>
      <c r="E11" s="25" t="n">
        <f aca="false">D11*Wyjaśnienia!$B$17</f>
        <v>4400</v>
      </c>
      <c r="F11" s="13" t="s">
        <v>146</v>
      </c>
      <c r="G11" s="26" t="s">
        <v>138</v>
      </c>
      <c r="H11" s="3"/>
    </row>
    <row r="12" customFormat="false" ht="15" hidden="false" customHeight="true" outlineLevel="0" collapsed="false">
      <c r="A12" s="22" t="s">
        <v>147</v>
      </c>
      <c r="B12" s="23" t="n">
        <v>20</v>
      </c>
      <c r="C12" s="23" t="n">
        <v>0</v>
      </c>
      <c r="D12" s="24" t="n">
        <f aca="false">B12+C12*Wyjaśnienia!$B$18/60</f>
        <v>20</v>
      </c>
      <c r="E12" s="25" t="n">
        <f aca="false">D12*Wyjaśnienia!$B$17</f>
        <v>4400</v>
      </c>
      <c r="F12" s="13" t="s">
        <v>148</v>
      </c>
      <c r="G12" s="26" t="s">
        <v>138</v>
      </c>
      <c r="H12" s="3"/>
    </row>
    <row r="13" customFormat="false" ht="15" hidden="false" customHeight="true" outlineLevel="0" collapsed="false">
      <c r="A13" s="22" t="s">
        <v>149</v>
      </c>
      <c r="B13" s="23" t="n">
        <v>40</v>
      </c>
      <c r="C13" s="23" t="n">
        <v>0</v>
      </c>
      <c r="D13" s="24" t="n">
        <f aca="false">B13+C13*Wyjaśnienia!$B$18/60</f>
        <v>40</v>
      </c>
      <c r="E13" s="25" t="n">
        <f aca="false">D13*Wyjaśnienia!$B$17</f>
        <v>8800</v>
      </c>
      <c r="F13" s="13" t="s">
        <v>150</v>
      </c>
      <c r="G13" s="26" t="s">
        <v>151</v>
      </c>
      <c r="H13" s="3"/>
    </row>
    <row r="14" customFormat="false" ht="15" hidden="false" customHeight="true" outlineLevel="0" collapsed="false">
      <c r="A14" s="22" t="s">
        <v>152</v>
      </c>
      <c r="B14" s="23" t="n">
        <v>25</v>
      </c>
      <c r="C14" s="23" t="n">
        <v>0</v>
      </c>
      <c r="D14" s="24" t="n">
        <f aca="false">B14+C14*Wyjaśnienia!$B$18/60</f>
        <v>25</v>
      </c>
      <c r="E14" s="25" t="n">
        <f aca="false">D14*Wyjaśnienia!$B$17</f>
        <v>5500</v>
      </c>
      <c r="F14" s="13" t="s">
        <v>153</v>
      </c>
      <c r="G14" s="26" t="s">
        <v>151</v>
      </c>
      <c r="H14" s="3"/>
    </row>
    <row r="15" customFormat="false" ht="15" hidden="false" customHeight="true" outlineLevel="0" collapsed="false">
      <c r="A15" s="22" t="s">
        <v>154</v>
      </c>
      <c r="B15" s="23" t="n">
        <v>25</v>
      </c>
      <c r="C15" s="23" t="n">
        <v>0</v>
      </c>
      <c r="D15" s="24" t="n">
        <f aca="false">B15+C15*Wyjaśnienia!$B$18/60</f>
        <v>25</v>
      </c>
      <c r="E15" s="25" t="n">
        <f aca="false">D15*Wyjaśnienia!$B$17</f>
        <v>5500</v>
      </c>
      <c r="F15" s="13" t="s">
        <v>155</v>
      </c>
      <c r="G15" s="26" t="s">
        <v>151</v>
      </c>
      <c r="H15" s="3"/>
    </row>
    <row r="16" customFormat="false" ht="15" hidden="false" customHeight="true" outlineLevel="0" collapsed="false">
      <c r="A16" s="22" t="s">
        <v>156</v>
      </c>
      <c r="B16" s="23" t="n">
        <v>40</v>
      </c>
      <c r="C16" s="23" t="n">
        <v>0</v>
      </c>
      <c r="D16" s="24" t="n">
        <f aca="false">B16+C16*Wyjaśnienia!$B$18/60</f>
        <v>40</v>
      </c>
      <c r="E16" s="25" t="n">
        <f aca="false">D16*Wyjaśnienia!$B$17</f>
        <v>8800</v>
      </c>
      <c r="F16" s="13" t="s">
        <v>157</v>
      </c>
      <c r="G16" s="26" t="s">
        <v>138</v>
      </c>
      <c r="H16" s="3"/>
    </row>
    <row r="17" customFormat="false" ht="15" hidden="false" customHeight="true" outlineLevel="0" collapsed="false">
      <c r="A17" s="6" t="s">
        <v>158</v>
      </c>
      <c r="B17" s="3"/>
      <c r="C17" s="3"/>
      <c r="D17" s="27" t="n">
        <f aca="false">SUM(D7:D16)</f>
        <v>327</v>
      </c>
      <c r="E17" s="9" t="n">
        <f aca="false">SUM(E7:E16)</f>
        <v>71940</v>
      </c>
      <c r="F17" s="3"/>
      <c r="H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H18" s="3"/>
    </row>
    <row r="19" customFormat="false" ht="15" hidden="false" customHeight="true" outlineLevel="0" collapsed="false">
      <c r="A19" s="5" t="s">
        <v>159</v>
      </c>
      <c r="B19" s="5"/>
      <c r="C19" s="5"/>
      <c r="D19" s="5"/>
      <c r="E19" s="5"/>
      <c r="F19" s="5"/>
      <c r="G19" s="5"/>
      <c r="H19" s="3"/>
    </row>
    <row r="20" customFormat="false" ht="15" hidden="false" customHeight="true" outlineLevel="0" collapsed="false">
      <c r="A20" s="6" t="s">
        <v>129</v>
      </c>
      <c r="B20" s="3" t="s">
        <v>160</v>
      </c>
      <c r="C20" s="3" t="s">
        <v>161</v>
      </c>
      <c r="D20" s="3" t="s">
        <v>133</v>
      </c>
      <c r="E20" s="3" t="s">
        <v>134</v>
      </c>
      <c r="G20" s="6" t="s">
        <v>135</v>
      </c>
      <c r="H20" s="3"/>
    </row>
    <row r="21" customFormat="false" ht="15" hidden="false" customHeight="true" outlineLevel="0" collapsed="false">
      <c r="A21" s="22" t="s">
        <v>162</v>
      </c>
      <c r="B21" s="28" t="n">
        <v>1200</v>
      </c>
      <c r="C21" s="23" t="n">
        <v>1</v>
      </c>
      <c r="D21" s="25" t="n">
        <f aca="false">B21*C21</f>
        <v>1200</v>
      </c>
      <c r="E21" s="13" t="s">
        <v>163</v>
      </c>
      <c r="F21" s="3"/>
      <c r="G21" s="26" t="s">
        <v>151</v>
      </c>
      <c r="H21" s="3"/>
    </row>
    <row r="22" customFormat="false" ht="15" hidden="false" customHeight="true" outlineLevel="0" collapsed="false">
      <c r="A22" s="22" t="s">
        <v>164</v>
      </c>
      <c r="B22" s="28" t="n">
        <v>1500</v>
      </c>
      <c r="C22" s="23" t="n">
        <v>1</v>
      </c>
      <c r="D22" s="25" t="n">
        <f aca="false">B22*C22</f>
        <v>1500</v>
      </c>
      <c r="E22" s="13" t="s">
        <v>165</v>
      </c>
      <c r="F22" s="3"/>
      <c r="G22" s="26" t="s">
        <v>138</v>
      </c>
      <c r="H22" s="3"/>
    </row>
    <row r="23" customFormat="false" ht="15" hidden="false" customHeight="true" outlineLevel="0" collapsed="false">
      <c r="A23" s="22" t="s">
        <v>166</v>
      </c>
      <c r="B23" s="28" t="n">
        <v>250</v>
      </c>
      <c r="C23" s="23" t="n">
        <v>1</v>
      </c>
      <c r="D23" s="25" t="n">
        <f aca="false">B23*C23</f>
        <v>250</v>
      </c>
      <c r="E23" s="13" t="s">
        <v>167</v>
      </c>
      <c r="F23" s="3"/>
      <c r="G23" s="26" t="s">
        <v>138</v>
      </c>
      <c r="H23" s="3"/>
    </row>
    <row r="24" customFormat="false" ht="15" hidden="false" customHeight="true" outlineLevel="0" collapsed="false">
      <c r="A24" s="22" t="s">
        <v>168</v>
      </c>
      <c r="B24" s="28" t="n">
        <v>32000</v>
      </c>
      <c r="C24" s="23" t="n">
        <v>1</v>
      </c>
      <c r="D24" s="25" t="n">
        <f aca="false">B24*C24</f>
        <v>32000</v>
      </c>
      <c r="E24" s="13" t="s">
        <v>169</v>
      </c>
      <c r="F24" s="3" t="s">
        <v>170</v>
      </c>
      <c r="G24" s="26" t="s">
        <v>151</v>
      </c>
      <c r="H24" s="3"/>
    </row>
    <row r="25" customFormat="false" ht="15" hidden="false" customHeight="true" outlineLevel="0" collapsed="false">
      <c r="A25" s="22" t="s">
        <v>171</v>
      </c>
      <c r="B25" s="28" t="n">
        <v>0</v>
      </c>
      <c r="C25" s="23" t="n">
        <v>1</v>
      </c>
      <c r="D25" s="25" t="n">
        <f aca="false">B25*C25</f>
        <v>0</v>
      </c>
      <c r="E25" s="13" t="s">
        <v>172</v>
      </c>
      <c r="F25" s="3"/>
      <c r="G25" s="26" t="s">
        <v>138</v>
      </c>
    </row>
    <row r="26" customFormat="false" ht="15" hidden="false" customHeight="true" outlineLevel="0" collapsed="false">
      <c r="A26" s="22" t="s">
        <v>173</v>
      </c>
      <c r="B26" s="28" t="n">
        <v>15000</v>
      </c>
      <c r="C26" s="23" t="n">
        <v>1</v>
      </c>
      <c r="D26" s="25" t="n">
        <f aca="false">B26*C26</f>
        <v>15000</v>
      </c>
      <c r="E26" s="13" t="s">
        <v>174</v>
      </c>
      <c r="F26" s="3"/>
      <c r="G26" s="26" t="s">
        <v>138</v>
      </c>
      <c r="H26" s="3"/>
    </row>
    <row r="27" customFormat="false" ht="15" hidden="false" customHeight="true" outlineLevel="0" collapsed="false">
      <c r="A27" s="22" t="s">
        <v>175</v>
      </c>
      <c r="B27" s="28" t="n">
        <f aca="false">Wyjaśnienia!$B$27</f>
        <v>12000</v>
      </c>
      <c r="C27" s="23" t="n">
        <v>1</v>
      </c>
      <c r="D27" s="25" t="n">
        <f aca="false">B27*C27</f>
        <v>12000</v>
      </c>
      <c r="E27" s="13" t="s">
        <v>176</v>
      </c>
      <c r="F27" s="3"/>
      <c r="G27" s="26" t="s">
        <v>151</v>
      </c>
    </row>
    <row r="28" customFormat="false" ht="15" hidden="false" customHeight="true" outlineLevel="0" collapsed="false">
      <c r="A28" s="22" t="s">
        <v>177</v>
      </c>
      <c r="B28" s="28" t="n">
        <v>0</v>
      </c>
      <c r="C28" s="23" t="n">
        <v>1</v>
      </c>
      <c r="D28" s="25" t="n">
        <f aca="false">B28*C28</f>
        <v>0</v>
      </c>
      <c r="E28" s="13" t="s">
        <v>178</v>
      </c>
      <c r="F28" s="3"/>
      <c r="G28" s="26" t="s">
        <v>138</v>
      </c>
      <c r="H28" s="3"/>
    </row>
    <row r="29" customFormat="false" ht="15" hidden="false" customHeight="true" outlineLevel="0" collapsed="false">
      <c r="A29" s="22" t="s">
        <v>179</v>
      </c>
      <c r="B29" s="28" t="n">
        <v>10000</v>
      </c>
      <c r="C29" s="23" t="n">
        <v>1</v>
      </c>
      <c r="D29" s="25" t="n">
        <f aca="false">B29*C29</f>
        <v>10000</v>
      </c>
      <c r="E29" s="13" t="s">
        <v>180</v>
      </c>
      <c r="F29" s="3"/>
      <c r="G29" s="26" t="s">
        <v>151</v>
      </c>
    </row>
    <row r="30" customFormat="false" ht="15" hidden="false" customHeight="true" outlineLevel="0" collapsed="false">
      <c r="A30" s="22" t="s">
        <v>181</v>
      </c>
      <c r="B30" s="28" t="n">
        <v>13333</v>
      </c>
      <c r="C30" s="23" t="n">
        <v>1</v>
      </c>
      <c r="D30" s="25" t="n">
        <f aca="false">B30*C30</f>
        <v>13333</v>
      </c>
      <c r="E30" s="13" t="s">
        <v>182</v>
      </c>
      <c r="F30" s="3"/>
    </row>
    <row r="31" customFormat="false" ht="15" hidden="false" customHeight="true" outlineLevel="0" collapsed="false">
      <c r="A31" s="22" t="s">
        <v>183</v>
      </c>
      <c r="B31" s="28" t="n">
        <v>3000</v>
      </c>
      <c r="C31" s="23" t="n">
        <v>1</v>
      </c>
      <c r="D31" s="25" t="n">
        <f aca="false">B31*C31</f>
        <v>3000</v>
      </c>
      <c r="E31" s="13" t="s">
        <v>184</v>
      </c>
      <c r="F31" s="3"/>
    </row>
    <row r="32" customFormat="false" ht="15" hidden="false" customHeight="true" outlineLevel="0" collapsed="false">
      <c r="A32" s="22" t="s">
        <v>185</v>
      </c>
      <c r="B32" s="28"/>
      <c r="C32" s="23"/>
      <c r="D32" s="25" t="n">
        <f aca="false">SUM(D21:D31)</f>
        <v>88283</v>
      </c>
      <c r="E32" s="13"/>
      <c r="F32" s="3"/>
      <c r="H32" s="3"/>
    </row>
    <row r="33" customFormat="false" ht="15" hidden="false" customHeight="true" outlineLevel="0" collapsed="false">
      <c r="A33" s="29"/>
      <c r="B33" s="29"/>
      <c r="C33" s="29"/>
      <c r="D33" s="29"/>
      <c r="E33" s="29"/>
      <c r="F33" s="29"/>
      <c r="G33" s="29"/>
      <c r="H33" s="3"/>
    </row>
    <row r="34" customFormat="false" ht="15" hidden="false" customHeight="true" outlineLevel="0" collapsed="false">
      <c r="A34" s="5" t="s">
        <v>186</v>
      </c>
      <c r="B34" s="5"/>
      <c r="C34" s="5"/>
      <c r="D34" s="5"/>
      <c r="E34" s="5"/>
      <c r="F34" s="5"/>
      <c r="G34" s="5"/>
      <c r="H34" s="3"/>
    </row>
    <row r="35" customFormat="false" ht="15" hidden="false" customHeight="true" outlineLevel="0" collapsed="false">
      <c r="A35" s="22" t="s">
        <v>187</v>
      </c>
      <c r="B35" s="3"/>
      <c r="C35" s="3"/>
      <c r="D35" s="25" t="n">
        <f aca="false">Wyjaśnienia!$B$19+Wyjaśnienia!$B$22+Wyjaśnienia!$B$23+Wyjaśnienia!$B$20*Wyjaśnienia!$B$21</f>
        <v>371000</v>
      </c>
      <c r="E35" s="3"/>
      <c r="F35" s="3"/>
      <c r="H35" s="3"/>
    </row>
    <row r="36" customFormat="false" ht="15" hidden="false" customHeight="true" outlineLevel="0" collapsed="false">
      <c r="A36" s="22" t="s">
        <v>188</v>
      </c>
      <c r="B36" s="3"/>
      <c r="C36" s="3"/>
      <c r="D36" s="8" t="n">
        <f aca="false">E17</f>
        <v>71940</v>
      </c>
      <c r="E36" s="3"/>
      <c r="F36" s="3"/>
      <c r="H36" s="3"/>
    </row>
    <row r="37" customFormat="false" ht="15" hidden="false" customHeight="true" outlineLevel="0" collapsed="false">
      <c r="A37" s="22" t="s">
        <v>189</v>
      </c>
      <c r="B37" s="3"/>
      <c r="C37" s="3"/>
      <c r="D37" s="8" t="n">
        <f aca="false">D32</f>
        <v>88283</v>
      </c>
      <c r="E37" s="3"/>
      <c r="F37" s="3"/>
      <c r="H37" s="3"/>
    </row>
    <row r="38" customFormat="false" ht="15" hidden="false" customHeight="true" outlineLevel="0" collapsed="false">
      <c r="A38" s="22" t="s">
        <v>190</v>
      </c>
      <c r="D38" s="3" t="n">
        <f aca="false">(D36+D37-D27-D29)*Wyjaśnienia!$B$32</f>
        <v>16586.76</v>
      </c>
      <c r="E38" s="1" t="s">
        <v>191</v>
      </c>
      <c r="H38" s="3"/>
    </row>
    <row r="39" customFormat="false" ht="15" hidden="false" customHeight="true" outlineLevel="0" collapsed="false">
      <c r="A39" s="6" t="s">
        <v>192</v>
      </c>
      <c r="B39" s="3"/>
      <c r="C39" s="3"/>
      <c r="D39" s="9" t="n">
        <f aca="false">SUM(D35:D38)</f>
        <v>547809.76</v>
      </c>
      <c r="E39" s="3"/>
      <c r="F39" s="3"/>
      <c r="H39" s="3"/>
    </row>
    <row r="40" customFormat="false" ht="15" hidden="false" customHeight="true" outlineLevel="0" collapsed="false">
      <c r="A40" s="22" t="s">
        <v>193</v>
      </c>
      <c r="B40" s="3"/>
      <c r="C40" s="3"/>
      <c r="D40" s="8" t="n">
        <f aca="false">D39*Wyjaśnienia!$B$35</f>
        <v>125996.2448</v>
      </c>
      <c r="E40" s="3"/>
      <c r="F40" s="3"/>
      <c r="H40" s="3"/>
    </row>
    <row r="41" customFormat="false" ht="15" hidden="false" customHeight="true" outlineLevel="0" collapsed="false">
      <c r="A41" s="6" t="s">
        <v>194</v>
      </c>
      <c r="B41" s="3"/>
      <c r="C41" s="3"/>
      <c r="D41" s="30" t="n">
        <f aca="false">D39+D40</f>
        <v>673806.0048</v>
      </c>
      <c r="E41" s="3"/>
      <c r="F41" s="3"/>
      <c r="H41" s="3"/>
    </row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</sheetData>
  <mergeCells count="7">
    <mergeCell ref="A1:G1"/>
    <mergeCell ref="A2:G2"/>
    <mergeCell ref="A3:G3"/>
    <mergeCell ref="A5:G5"/>
    <mergeCell ref="A19:G19"/>
    <mergeCell ref="A33:G33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2"/>
    <col collapsed="false" customWidth="true" hidden="false" outlineLevel="0" max="7" min="7" style="3" width="11"/>
  </cols>
  <sheetData>
    <row r="1" customFormat="false" ht="17.25" hidden="false" customHeight="true" outlineLevel="0" collapsed="false">
      <c r="A1" s="2" t="s">
        <v>8</v>
      </c>
      <c r="B1" s="2"/>
      <c r="C1" s="2"/>
      <c r="D1" s="2"/>
      <c r="E1" s="2"/>
      <c r="F1" s="2"/>
      <c r="G1" s="2"/>
      <c r="H1" s="3"/>
    </row>
    <row r="2" customFormat="false" ht="15" hidden="false" customHeight="true" outlineLevel="0" collapsed="false">
      <c r="A2" s="4" t="s">
        <v>195</v>
      </c>
      <c r="B2" s="4"/>
      <c r="C2" s="4"/>
      <c r="D2" s="4"/>
      <c r="E2" s="4"/>
      <c r="F2" s="4"/>
      <c r="G2" s="4"/>
      <c r="H2" s="3"/>
    </row>
    <row r="3" customFormat="false" ht="15" hidden="false" customHeight="true" outlineLevel="0" collapsed="false">
      <c r="A3" s="4" t="s">
        <v>127</v>
      </c>
      <c r="B3" s="4"/>
      <c r="C3" s="4"/>
      <c r="D3" s="4"/>
      <c r="E3" s="4"/>
      <c r="F3" s="4"/>
      <c r="G3" s="4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H4" s="3"/>
    </row>
    <row r="5" customFormat="false" ht="15" hidden="false" customHeight="true" outlineLevel="0" collapsed="false">
      <c r="A5" s="5" t="s">
        <v>128</v>
      </c>
      <c r="B5" s="5"/>
      <c r="C5" s="5"/>
      <c r="D5" s="5"/>
      <c r="E5" s="5"/>
      <c r="F5" s="5"/>
      <c r="G5" s="5"/>
      <c r="H5" s="3"/>
    </row>
    <row r="6" customFormat="false" ht="15" hidden="false" customHeight="true" outlineLevel="0" collapsed="false">
      <c r="A6" s="6" t="s">
        <v>129</v>
      </c>
      <c r="B6" s="7" t="s">
        <v>130</v>
      </c>
      <c r="C6" s="7" t="s">
        <v>131</v>
      </c>
      <c r="D6" s="7" t="s">
        <v>132</v>
      </c>
      <c r="E6" s="7" t="s">
        <v>133</v>
      </c>
      <c r="F6" s="6" t="s">
        <v>134</v>
      </c>
      <c r="G6" s="6" t="s">
        <v>135</v>
      </c>
      <c r="H6" s="3"/>
    </row>
    <row r="7" customFormat="false" ht="15" hidden="false" customHeight="true" outlineLevel="0" collapsed="false">
      <c r="A7" s="22" t="s">
        <v>196</v>
      </c>
      <c r="B7" s="23" t="n">
        <v>0</v>
      </c>
      <c r="C7" s="23" t="n">
        <v>10</v>
      </c>
      <c r="D7" s="24" t="n">
        <f aca="false">B7+C7*Wyjaśnienia!$B$24/60</f>
        <v>25</v>
      </c>
      <c r="E7" s="25" t="n">
        <f aca="false">D7*Wyjaśnienia!$B$17</f>
        <v>5500</v>
      </c>
      <c r="F7" s="13" t="s">
        <v>197</v>
      </c>
      <c r="G7" s="26" t="s">
        <v>138</v>
      </c>
      <c r="H7" s="3"/>
    </row>
    <row r="8" customFormat="false" ht="15" hidden="false" customHeight="true" outlineLevel="0" collapsed="false">
      <c r="A8" s="22" t="s">
        <v>198</v>
      </c>
      <c r="B8" s="23" t="n">
        <v>40</v>
      </c>
      <c r="C8" s="24"/>
      <c r="D8" s="24" t="n">
        <f aca="false">B8+C8*Wyjaśnienia!$B$24/60</f>
        <v>40</v>
      </c>
      <c r="E8" s="25" t="n">
        <f aca="false">D8*Wyjaśnienia!$B$17</f>
        <v>8800</v>
      </c>
      <c r="F8" s="13" t="s">
        <v>199</v>
      </c>
      <c r="G8" s="26" t="s">
        <v>151</v>
      </c>
      <c r="H8" s="3"/>
    </row>
    <row r="9" customFormat="false" ht="15" hidden="false" customHeight="true" outlineLevel="0" collapsed="false">
      <c r="A9" s="22" t="s">
        <v>200</v>
      </c>
      <c r="B9" s="23" t="n">
        <v>30</v>
      </c>
      <c r="C9" s="24"/>
      <c r="D9" s="24" t="n">
        <f aca="false">B9+C9*Wyjaśnienia!$B$24/60</f>
        <v>30</v>
      </c>
      <c r="E9" s="25" t="n">
        <f aca="false">D9*Wyjaśnienia!$B$17</f>
        <v>6600</v>
      </c>
      <c r="F9" s="13" t="s">
        <v>201</v>
      </c>
      <c r="G9" s="26" t="s">
        <v>151</v>
      </c>
      <c r="H9" s="3"/>
    </row>
    <row r="10" customFormat="false" ht="15" hidden="false" customHeight="true" outlineLevel="0" collapsed="false">
      <c r="A10" s="22" t="s">
        <v>202</v>
      </c>
      <c r="B10" s="23" t="n">
        <v>20</v>
      </c>
      <c r="C10" s="24"/>
      <c r="D10" s="24" t="n">
        <f aca="false">B10+C10*Wyjaśnienia!$B$24/60</f>
        <v>20</v>
      </c>
      <c r="E10" s="25" t="n">
        <f aca="false">D10*Wyjaśnienia!$B$17</f>
        <v>4400</v>
      </c>
      <c r="F10" s="13" t="s">
        <v>203</v>
      </c>
      <c r="G10" s="26" t="s">
        <v>151</v>
      </c>
      <c r="H10" s="3"/>
    </row>
    <row r="11" customFormat="false" ht="15" hidden="false" customHeight="true" outlineLevel="0" collapsed="false">
      <c r="A11" s="22" t="s">
        <v>204</v>
      </c>
      <c r="B11" s="23" t="n">
        <v>50</v>
      </c>
      <c r="C11" s="24"/>
      <c r="D11" s="24" t="n">
        <f aca="false">B11+C11*Wyjaśnienia!$B$24/60</f>
        <v>50</v>
      </c>
      <c r="E11" s="25" t="n">
        <f aca="false">D11*Wyjaśnienia!$B$17</f>
        <v>11000</v>
      </c>
      <c r="F11" s="13" t="s">
        <v>205</v>
      </c>
      <c r="G11" s="26" t="s">
        <v>138</v>
      </c>
      <c r="H11" s="3"/>
    </row>
    <row r="12" customFormat="false" ht="15" hidden="false" customHeight="true" outlineLevel="0" collapsed="false">
      <c r="A12" s="6" t="s">
        <v>158</v>
      </c>
      <c r="B12" s="3"/>
      <c r="C12" s="3"/>
      <c r="D12" s="27" t="n">
        <f aca="false">SUM(D7:D11)</f>
        <v>165</v>
      </c>
      <c r="E12" s="9" t="n">
        <f aca="false">SUM(E7:E11)</f>
        <v>36300</v>
      </c>
      <c r="F12" s="3" t="s">
        <v>206</v>
      </c>
      <c r="H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H13" s="3"/>
    </row>
    <row r="14" customFormat="false" ht="15" hidden="false" customHeight="true" outlineLevel="0" collapsed="false">
      <c r="A14" s="5" t="s">
        <v>159</v>
      </c>
      <c r="B14" s="5"/>
      <c r="C14" s="5"/>
      <c r="D14" s="5"/>
      <c r="E14" s="5"/>
      <c r="F14" s="5"/>
      <c r="G14" s="5"/>
      <c r="H14" s="3"/>
    </row>
    <row r="15" customFormat="false" ht="15" hidden="false" customHeight="true" outlineLevel="0" collapsed="false">
      <c r="A15" s="6" t="s">
        <v>129</v>
      </c>
      <c r="B15" s="7" t="s">
        <v>160</v>
      </c>
      <c r="C15" s="7" t="s">
        <v>161</v>
      </c>
      <c r="D15" s="7" t="s">
        <v>133</v>
      </c>
      <c r="E15" s="6" t="s">
        <v>134</v>
      </c>
      <c r="F15" s="3"/>
      <c r="G15" s="6" t="s">
        <v>135</v>
      </c>
      <c r="H15" s="3"/>
    </row>
    <row r="16" customFormat="false" ht="15" hidden="false" customHeight="true" outlineLevel="0" collapsed="false">
      <c r="A16" s="22" t="s">
        <v>207</v>
      </c>
      <c r="B16" s="25" t="n">
        <f aca="false">Wyjaśnienia!$B$25</f>
        <v>35000</v>
      </c>
      <c r="C16" s="23" t="n">
        <v>1</v>
      </c>
      <c r="D16" s="25" t="n">
        <f aca="false">B16*C16</f>
        <v>35000</v>
      </c>
      <c r="E16" s="13" t="s">
        <v>208</v>
      </c>
      <c r="F16" s="3"/>
      <c r="G16" s="26" t="s">
        <v>151</v>
      </c>
      <c r="H16" s="3"/>
    </row>
    <row r="17" customFormat="false" ht="15" hidden="false" customHeight="true" outlineLevel="0" collapsed="false">
      <c r="A17" s="22" t="s">
        <v>175</v>
      </c>
      <c r="B17" s="25" t="n">
        <f aca="false">Wyjaśnienia!$B$26</f>
        <v>12000</v>
      </c>
      <c r="C17" s="23" t="n">
        <v>1</v>
      </c>
      <c r="D17" s="25" t="n">
        <f aca="false">B17*C17</f>
        <v>12000</v>
      </c>
      <c r="E17" s="13" t="s">
        <v>176</v>
      </c>
      <c r="F17" s="3"/>
      <c r="G17" s="26" t="s">
        <v>151</v>
      </c>
      <c r="H17" s="3"/>
    </row>
    <row r="18" customFormat="false" ht="15" hidden="false" customHeight="true" outlineLevel="0" collapsed="false">
      <c r="A18" s="22" t="s">
        <v>209</v>
      </c>
      <c r="B18" s="25" t="n">
        <f aca="false">Wyjaśnienia!$B$28</f>
        <v>7500</v>
      </c>
      <c r="C18" s="24" t="n">
        <f aca="false">Wyjaśnienia!$B$29</f>
        <v>10</v>
      </c>
      <c r="D18" s="25" t="n">
        <f aca="false">B18*C18</f>
        <v>75000</v>
      </c>
      <c r="E18" s="13" t="s">
        <v>210</v>
      </c>
      <c r="F18" s="3"/>
      <c r="G18" s="26" t="s">
        <v>151</v>
      </c>
      <c r="H18" s="3"/>
    </row>
    <row r="19" customFormat="false" ht="15" hidden="false" customHeight="true" outlineLevel="0" collapsed="false">
      <c r="A19" s="22" t="s">
        <v>51</v>
      </c>
      <c r="B19" s="25" t="n">
        <f aca="false">Wyjaśnienia!$B$30</f>
        <v>80000</v>
      </c>
      <c r="C19" s="23" t="n">
        <v>1</v>
      </c>
      <c r="D19" s="25" t="n">
        <f aca="false">B19*C19</f>
        <v>80000</v>
      </c>
      <c r="E19" s="13" t="s">
        <v>211</v>
      </c>
      <c r="F19" s="3"/>
      <c r="G19" s="26" t="s">
        <v>138</v>
      </c>
      <c r="H19" s="3"/>
    </row>
    <row r="20" customFormat="false" ht="15" hidden="false" customHeight="true" outlineLevel="0" collapsed="false">
      <c r="A20" s="22" t="s">
        <v>212</v>
      </c>
      <c r="B20" s="25" t="n">
        <f aca="false">Wyjaśnienia!$B$31</f>
        <v>1200</v>
      </c>
      <c r="C20" s="23" t="n">
        <v>1</v>
      </c>
      <c r="D20" s="25" t="n">
        <f aca="false">B20*C20</f>
        <v>1200</v>
      </c>
      <c r="E20" s="13" t="s">
        <v>213</v>
      </c>
      <c r="F20" s="3"/>
      <c r="G20" s="26" t="s">
        <v>151</v>
      </c>
      <c r="H20" s="3"/>
    </row>
    <row r="21" customFormat="false" ht="15" hidden="false" customHeight="true" outlineLevel="0" collapsed="false">
      <c r="A21" s="22" t="s">
        <v>214</v>
      </c>
      <c r="B21" s="28" t="n">
        <v>0</v>
      </c>
      <c r="C21" s="23" t="n">
        <v>1</v>
      </c>
      <c r="D21" s="25" t="n">
        <f aca="false">B21*C21</f>
        <v>0</v>
      </c>
      <c r="E21" s="13" t="s">
        <v>215</v>
      </c>
      <c r="F21" s="3"/>
      <c r="G21" s="26" t="s">
        <v>151</v>
      </c>
      <c r="H21" s="3"/>
    </row>
    <row r="22" customFormat="false" ht="15" hidden="false" customHeight="true" outlineLevel="0" collapsed="false">
      <c r="A22" s="22" t="s">
        <v>171</v>
      </c>
      <c r="B22" s="28" t="n">
        <v>0</v>
      </c>
      <c r="C22" s="23" t="n">
        <v>1</v>
      </c>
      <c r="D22" s="25" t="n">
        <f aca="false">B22*C22</f>
        <v>0</v>
      </c>
      <c r="E22" s="13" t="s">
        <v>216</v>
      </c>
      <c r="F22" s="3"/>
      <c r="G22" s="26" t="s">
        <v>138</v>
      </c>
    </row>
    <row r="23" customFormat="false" ht="15" hidden="false" customHeight="true" outlineLevel="0" collapsed="false">
      <c r="A23" s="22" t="s">
        <v>217</v>
      </c>
      <c r="B23" s="28" t="n">
        <v>0</v>
      </c>
      <c r="C23" s="23" t="n">
        <v>1</v>
      </c>
      <c r="D23" s="25" t="n">
        <f aca="false">B23*C23</f>
        <v>0</v>
      </c>
      <c r="E23" s="13" t="s">
        <v>218</v>
      </c>
      <c r="F23" s="3"/>
      <c r="G23" s="26" t="s">
        <v>151</v>
      </c>
      <c r="H23" s="3"/>
    </row>
    <row r="24" customFormat="false" ht="15" hidden="false" customHeight="true" outlineLevel="0" collapsed="false">
      <c r="A24" s="31" t="s">
        <v>219</v>
      </c>
      <c r="B24" s="18" t="n">
        <v>0</v>
      </c>
      <c r="C24" s="32" t="n">
        <v>1</v>
      </c>
      <c r="D24" s="8" t="n">
        <f aca="false">B24*C24</f>
        <v>0</v>
      </c>
      <c r="E24" s="1" t="s">
        <v>220</v>
      </c>
      <c r="F24" s="31" t="s">
        <v>221</v>
      </c>
      <c r="G24" s="26" t="s">
        <v>138</v>
      </c>
    </row>
    <row r="25" customFormat="false" ht="15" hidden="false" customHeight="true" outlineLevel="0" collapsed="false">
      <c r="A25" s="31" t="s">
        <v>222</v>
      </c>
      <c r="B25" s="18" t="n">
        <v>0</v>
      </c>
      <c r="C25" s="32" t="n">
        <v>1</v>
      </c>
      <c r="D25" s="8" t="n">
        <f aca="false">B25*C25</f>
        <v>0</v>
      </c>
      <c r="E25" s="1" t="s">
        <v>223</v>
      </c>
      <c r="F25" s="31"/>
      <c r="G25" s="26" t="s">
        <v>151</v>
      </c>
    </row>
    <row r="26" customFormat="false" ht="15" hidden="false" customHeight="true" outlineLevel="0" collapsed="false">
      <c r="A26" s="31" t="s">
        <v>183</v>
      </c>
      <c r="B26" s="18" t="n">
        <v>3000</v>
      </c>
      <c r="C26" s="32" t="n">
        <v>1</v>
      </c>
      <c r="D26" s="8" t="n">
        <f aca="false">B26*C26</f>
        <v>3000</v>
      </c>
      <c r="E26" s="1" t="s">
        <v>184</v>
      </c>
      <c r="F26" s="31"/>
    </row>
    <row r="27" customFormat="false" ht="15" hidden="false" customHeight="true" outlineLevel="0" collapsed="false">
      <c r="A27" s="6" t="s">
        <v>185</v>
      </c>
      <c r="D27" s="3" t="n">
        <f aca="false">SUM(D16:D26)</f>
        <v>206200</v>
      </c>
      <c r="H27" s="3"/>
    </row>
    <row r="28" customFormat="false" ht="15" hidden="false" customHeight="true" outlineLevel="0" collapsed="false">
      <c r="A28" s="29"/>
      <c r="B28" s="29"/>
      <c r="C28" s="29"/>
      <c r="D28" s="29"/>
      <c r="E28" s="29"/>
      <c r="F28" s="29"/>
      <c r="G28" s="29"/>
      <c r="H28" s="3"/>
    </row>
    <row r="29" customFormat="false" ht="15" hidden="false" customHeight="true" outlineLevel="0" collapsed="false">
      <c r="A29" s="5" t="s">
        <v>186</v>
      </c>
      <c r="B29" s="5"/>
      <c r="C29" s="5"/>
      <c r="D29" s="5"/>
      <c r="E29" s="5"/>
      <c r="F29" s="5"/>
      <c r="G29" s="5"/>
      <c r="H29" s="3"/>
    </row>
    <row r="30" customFormat="false" ht="15" hidden="false" customHeight="true" outlineLevel="0" collapsed="false">
      <c r="A30" s="22" t="s">
        <v>187</v>
      </c>
      <c r="B30" s="3"/>
      <c r="C30" s="3"/>
      <c r="D30" s="25" t="n">
        <f aca="false">Wyjaśnienia!$B$25+Wyjaśnienia!$B$26</f>
        <v>47000</v>
      </c>
      <c r="E30" s="3"/>
      <c r="F30" s="3"/>
      <c r="H30" s="3"/>
    </row>
    <row r="31" customFormat="false" ht="15" hidden="false" customHeight="true" outlineLevel="0" collapsed="false">
      <c r="A31" s="22" t="s">
        <v>188</v>
      </c>
      <c r="B31" s="3"/>
      <c r="C31" s="3"/>
      <c r="D31" s="8" t="n">
        <f aca="false">E12</f>
        <v>36300</v>
      </c>
      <c r="E31" s="3"/>
      <c r="F31" s="3"/>
      <c r="H31" s="3"/>
    </row>
    <row r="32" customFormat="false" ht="15" hidden="false" customHeight="true" outlineLevel="0" collapsed="false">
      <c r="A32" s="22" t="s">
        <v>224</v>
      </c>
      <c r="B32" s="3"/>
      <c r="C32" s="3"/>
      <c r="D32" s="8" t="n">
        <f aca="false">D27-D30</f>
        <v>159200</v>
      </c>
      <c r="E32" s="3"/>
      <c r="F32" s="3"/>
      <c r="H32" s="3"/>
    </row>
    <row r="33" customFormat="false" ht="15" hidden="false" customHeight="true" outlineLevel="0" collapsed="false">
      <c r="A33" s="22" t="s">
        <v>190</v>
      </c>
      <c r="B33" s="3"/>
      <c r="C33" s="3"/>
      <c r="D33" s="8" t="n">
        <f aca="false">(D31+D32)*Wyjaśnienia!$B$34</f>
        <v>23460</v>
      </c>
      <c r="E33" s="3"/>
      <c r="F33" s="3"/>
      <c r="H33" s="3"/>
    </row>
    <row r="34" customFormat="false" ht="15" hidden="false" customHeight="true" outlineLevel="0" collapsed="false">
      <c r="A34" s="6" t="s">
        <v>192</v>
      </c>
      <c r="B34" s="3"/>
      <c r="C34" s="3"/>
      <c r="D34" s="9" t="n">
        <f aca="false">SUM(D30:D33)</f>
        <v>265960</v>
      </c>
      <c r="E34" s="3"/>
      <c r="F34" s="3"/>
      <c r="H34" s="3"/>
    </row>
    <row r="35" customFormat="false" ht="15" hidden="false" customHeight="true" outlineLevel="0" collapsed="false">
      <c r="A35" s="22" t="s">
        <v>193</v>
      </c>
      <c r="B35" s="3"/>
      <c r="C35" s="3"/>
      <c r="D35" s="8" t="n">
        <f aca="false">D34*Wyjaśnienia!$B$35</f>
        <v>61170.8</v>
      </c>
      <c r="E35" s="3"/>
      <c r="F35" s="3"/>
      <c r="H35" s="3"/>
    </row>
    <row r="36" customFormat="false" ht="15" hidden="false" customHeight="true" outlineLevel="0" collapsed="false">
      <c r="A36" s="6" t="s">
        <v>194</v>
      </c>
      <c r="B36" s="3"/>
      <c r="C36" s="3"/>
      <c r="D36" s="30" t="n">
        <f aca="false">D34+D35</f>
        <v>327130.8</v>
      </c>
      <c r="E36" s="3"/>
      <c r="F36" s="3"/>
      <c r="H36" s="3"/>
    </row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</sheetData>
  <mergeCells count="7">
    <mergeCell ref="A1:G1"/>
    <mergeCell ref="A2:G2"/>
    <mergeCell ref="A3:G3"/>
    <mergeCell ref="A5:G5"/>
    <mergeCell ref="A14:G14"/>
    <mergeCell ref="A28:G28"/>
    <mergeCell ref="A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3" width="54"/>
    <col collapsed="false" customWidth="true" hidden="false" outlineLevel="0" max="2" min="2" style="3" width="14"/>
    <col collapsed="false" customWidth="true" hidden="false" outlineLevel="0" max="3" min="3" style="3" width="20"/>
    <col collapsed="false" customWidth="true" hidden="false" outlineLevel="0" max="4" min="4" style="3" width="16"/>
    <col collapsed="false" customWidth="true" hidden="false" outlineLevel="0" max="5" min="5" style="3" width="18"/>
    <col collapsed="false" customWidth="true" hidden="false" outlineLevel="0" max="6" min="6" style="3" width="62"/>
    <col collapsed="false" customWidth="true" hidden="false" outlineLevel="0" max="7" min="7" style="3" width="11"/>
  </cols>
  <sheetData>
    <row r="1" customFormat="false" ht="15" hidden="false" customHeight="true" outlineLevel="0" collapsed="false">
      <c r="A1" s="33" t="s">
        <v>10</v>
      </c>
      <c r="B1" s="33"/>
      <c r="C1" s="33"/>
      <c r="D1" s="33"/>
      <c r="E1" s="33"/>
      <c r="F1" s="33"/>
      <c r="G1" s="33"/>
    </row>
    <row r="2" customFormat="false" ht="15" hidden="false" customHeight="true" outlineLevel="0" collapsed="false">
      <c r="A2" s="29" t="s">
        <v>225</v>
      </c>
      <c r="B2" s="29"/>
      <c r="C2" s="29"/>
      <c r="D2" s="29"/>
      <c r="E2" s="29"/>
      <c r="F2" s="29"/>
      <c r="G2" s="29"/>
    </row>
    <row r="3" customFormat="false" ht="15" hidden="false" customHeight="true" outlineLevel="0" collapsed="false">
      <c r="A3" s="29" t="s">
        <v>127</v>
      </c>
      <c r="B3" s="29"/>
      <c r="C3" s="29"/>
      <c r="D3" s="29"/>
      <c r="E3" s="29"/>
      <c r="F3" s="29"/>
      <c r="G3" s="29"/>
    </row>
    <row r="5" customFormat="false" ht="15" hidden="false" customHeight="true" outlineLevel="0" collapsed="false">
      <c r="A5" s="33" t="s">
        <v>128</v>
      </c>
      <c r="B5" s="33"/>
      <c r="C5" s="33"/>
      <c r="D5" s="33"/>
      <c r="E5" s="33"/>
      <c r="F5" s="33"/>
      <c r="G5" s="33"/>
    </row>
    <row r="6" customFormat="false" ht="15" hidden="false" customHeight="true" outlineLevel="0" collapsed="false">
      <c r="A6" s="10" t="s">
        <v>129</v>
      </c>
      <c r="B6" s="10" t="s">
        <v>130</v>
      </c>
      <c r="C6" s="10" t="s">
        <v>131</v>
      </c>
      <c r="D6" s="10" t="s">
        <v>132</v>
      </c>
      <c r="E6" s="10" t="s">
        <v>133</v>
      </c>
      <c r="F6" s="10" t="s">
        <v>134</v>
      </c>
      <c r="G6" s="10" t="s">
        <v>135</v>
      </c>
    </row>
    <row r="7" customFormat="false" ht="15" hidden="false" customHeight="true" outlineLevel="0" collapsed="false">
      <c r="A7" s="3" t="s">
        <v>226</v>
      </c>
      <c r="B7" s="21" t="n">
        <v>0</v>
      </c>
      <c r="C7" s="21" t="n">
        <v>10</v>
      </c>
      <c r="D7" s="34" t="n">
        <f aca="false">B7+C7*Wyjaśnienia!$B$55/60</f>
        <v>25</v>
      </c>
      <c r="E7" s="8" t="n">
        <f aca="false">D7*Wyjaśnienia!$B$17</f>
        <v>5500</v>
      </c>
      <c r="F7" s="3" t="s">
        <v>227</v>
      </c>
      <c r="G7" s="26" t="s">
        <v>138</v>
      </c>
    </row>
    <row r="8" customFormat="false" ht="15" hidden="false" customHeight="true" outlineLevel="0" collapsed="false">
      <c r="A8" s="3" t="s">
        <v>228</v>
      </c>
      <c r="B8" s="21" t="n">
        <v>30</v>
      </c>
      <c r="C8" s="34"/>
      <c r="D8" s="34" t="n">
        <f aca="false">B8+C8*Wyjaśnienia!$B$55/60</f>
        <v>30</v>
      </c>
      <c r="E8" s="8" t="n">
        <f aca="false">D8*Wyjaśnienia!$B$17</f>
        <v>6600</v>
      </c>
      <c r="F8" s="3" t="s">
        <v>229</v>
      </c>
      <c r="G8" s="26" t="s">
        <v>151</v>
      </c>
    </row>
    <row r="9" customFormat="false" ht="15" hidden="false" customHeight="true" outlineLevel="0" collapsed="false">
      <c r="A9" s="3" t="s">
        <v>202</v>
      </c>
      <c r="B9" s="21" t="n">
        <v>20</v>
      </c>
      <c r="C9" s="34"/>
      <c r="D9" s="34" t="n">
        <f aca="false">B9+C9*Wyjaśnienia!$B$55/60</f>
        <v>20</v>
      </c>
      <c r="E9" s="8" t="n">
        <f aca="false">D9*Wyjaśnienia!$B$17</f>
        <v>4400</v>
      </c>
      <c r="F9" s="3" t="s">
        <v>230</v>
      </c>
      <c r="G9" s="26" t="s">
        <v>151</v>
      </c>
    </row>
    <row r="10" customFormat="false" ht="15" hidden="false" customHeight="true" outlineLevel="0" collapsed="false">
      <c r="A10" s="3" t="s">
        <v>231</v>
      </c>
      <c r="B10" s="21" t="n">
        <v>35</v>
      </c>
      <c r="C10" s="34"/>
      <c r="D10" s="34" t="n">
        <f aca="false">B10+C10*Wyjaśnienia!$B$55/60</f>
        <v>35</v>
      </c>
      <c r="E10" s="8" t="n">
        <f aca="false">D10*Wyjaśnienia!$B$17</f>
        <v>7700</v>
      </c>
      <c r="F10" s="3" t="s">
        <v>232</v>
      </c>
      <c r="G10" s="26" t="s">
        <v>151</v>
      </c>
    </row>
    <row r="11" customFormat="false" ht="15" hidden="false" customHeight="true" outlineLevel="0" collapsed="false">
      <c r="A11" s="3" t="s">
        <v>233</v>
      </c>
      <c r="B11" s="21" t="n">
        <v>15</v>
      </c>
      <c r="C11" s="34"/>
      <c r="D11" s="34" t="n">
        <f aca="false">B11+C11*Wyjaśnienia!$B$55/60</f>
        <v>15</v>
      </c>
      <c r="E11" s="8" t="n">
        <f aca="false">D11*Wyjaśnienia!$B$17</f>
        <v>3300</v>
      </c>
      <c r="F11" s="3" t="s">
        <v>234</v>
      </c>
      <c r="G11" s="26" t="s">
        <v>151</v>
      </c>
    </row>
    <row r="12" customFormat="false" ht="15" hidden="false" customHeight="true" outlineLevel="0" collapsed="false">
      <c r="A12" s="3" t="s">
        <v>235</v>
      </c>
      <c r="B12" s="21" t="n">
        <v>50</v>
      </c>
      <c r="C12" s="34"/>
      <c r="D12" s="34" t="n">
        <f aca="false">B12+C12*Wyjaśnienia!$B$55/60</f>
        <v>50</v>
      </c>
      <c r="E12" s="8" t="n">
        <f aca="false">D12*Wyjaśnienia!$B$17</f>
        <v>11000</v>
      </c>
      <c r="F12" s="3" t="s">
        <v>236</v>
      </c>
      <c r="G12" s="26" t="s">
        <v>138</v>
      </c>
    </row>
    <row r="13" customFormat="false" ht="15" hidden="false" customHeight="true" outlineLevel="0" collapsed="false">
      <c r="A13" s="3" t="s">
        <v>237</v>
      </c>
      <c r="B13" s="21" t="n">
        <v>20</v>
      </c>
      <c r="C13" s="34"/>
      <c r="D13" s="34" t="n">
        <f aca="false">B13+C13*Wyjaśnienia!$B$55/60</f>
        <v>20</v>
      </c>
      <c r="E13" s="8" t="n">
        <f aca="false">D13*Wyjaśnienia!$B$17</f>
        <v>4400</v>
      </c>
      <c r="F13" s="3" t="s">
        <v>238</v>
      </c>
      <c r="G13" s="26" t="s">
        <v>151</v>
      </c>
    </row>
    <row r="14" customFormat="false" ht="15" hidden="false" customHeight="true" outlineLevel="0" collapsed="false">
      <c r="A14" s="10" t="s">
        <v>158</v>
      </c>
      <c r="D14" s="35" t="n">
        <f aca="false">SUM(D7:D13)</f>
        <v>195</v>
      </c>
      <c r="E14" s="11" t="n">
        <f aca="false">SUM(E7:E13)</f>
        <v>42900</v>
      </c>
      <c r="F14" s="3" t="s">
        <v>206</v>
      </c>
    </row>
    <row r="16" customFormat="false" ht="15" hidden="false" customHeight="true" outlineLevel="0" collapsed="false">
      <c r="A16" s="33" t="s">
        <v>159</v>
      </c>
      <c r="B16" s="33"/>
      <c r="C16" s="33"/>
      <c r="D16" s="33"/>
      <c r="E16" s="33"/>
      <c r="F16" s="33"/>
      <c r="G16" s="33"/>
    </row>
    <row r="17" customFormat="false" ht="15" hidden="false" customHeight="true" outlineLevel="0" collapsed="false">
      <c r="A17" s="10" t="s">
        <v>129</v>
      </c>
      <c r="B17" s="10" t="s">
        <v>160</v>
      </c>
      <c r="C17" s="10" t="s">
        <v>161</v>
      </c>
      <c r="D17" s="10" t="s">
        <v>133</v>
      </c>
      <c r="E17" s="10" t="s">
        <v>134</v>
      </c>
      <c r="G17" s="10" t="s">
        <v>135</v>
      </c>
    </row>
    <row r="18" customFormat="false" ht="15" hidden="false" customHeight="true" outlineLevel="0" collapsed="false">
      <c r="A18" s="3" t="s">
        <v>239</v>
      </c>
      <c r="B18" s="8" t="n">
        <f aca="false">Wyjaśnienia!$B$56</f>
        <v>90000</v>
      </c>
      <c r="C18" s="34" t="n">
        <v>1</v>
      </c>
      <c r="D18" s="8" t="n">
        <f aca="false">B18*C18</f>
        <v>90000</v>
      </c>
      <c r="E18" s="3" t="s">
        <v>240</v>
      </c>
      <c r="G18" s="26" t="s">
        <v>151</v>
      </c>
    </row>
    <row r="19" customFormat="false" ht="15" hidden="false" customHeight="true" outlineLevel="0" collapsed="false">
      <c r="A19" s="3" t="s">
        <v>175</v>
      </c>
      <c r="B19" s="8" t="n">
        <f aca="false">Wyjaśnienia!$B$57</f>
        <v>12000</v>
      </c>
      <c r="C19" s="34" t="n">
        <v>1</v>
      </c>
      <c r="D19" s="8" t="n">
        <f aca="false">B19*C19</f>
        <v>12000</v>
      </c>
      <c r="E19" s="3" t="s">
        <v>176</v>
      </c>
      <c r="G19" s="26" t="s">
        <v>151</v>
      </c>
    </row>
    <row r="20" customFormat="false" ht="15" hidden="false" customHeight="true" outlineLevel="0" collapsed="false">
      <c r="A20" s="3" t="s">
        <v>212</v>
      </c>
      <c r="B20" s="8" t="n">
        <f aca="false">Wyjaśnienia!$B$58</f>
        <v>1200</v>
      </c>
      <c r="C20" s="34" t="n">
        <v>1</v>
      </c>
      <c r="D20" s="8" t="n">
        <f aca="false">B20*C20</f>
        <v>1200</v>
      </c>
      <c r="E20" s="3" t="s">
        <v>213</v>
      </c>
      <c r="G20" s="26" t="s">
        <v>151</v>
      </c>
    </row>
    <row r="21" customFormat="false" ht="15" hidden="false" customHeight="true" outlineLevel="0" collapsed="false">
      <c r="A21" s="3" t="s">
        <v>241</v>
      </c>
      <c r="B21" s="18" t="n">
        <v>0</v>
      </c>
      <c r="C21" s="34" t="n">
        <v>1</v>
      </c>
      <c r="D21" s="8" t="n">
        <f aca="false">B21*C21</f>
        <v>0</v>
      </c>
      <c r="E21" s="3" t="s">
        <v>242</v>
      </c>
      <c r="G21" s="26" t="s">
        <v>151</v>
      </c>
    </row>
    <row r="22" customFormat="false" ht="15" hidden="false" customHeight="true" outlineLevel="0" collapsed="false">
      <c r="A22" s="3" t="s">
        <v>171</v>
      </c>
      <c r="B22" s="18" t="n">
        <v>0</v>
      </c>
      <c r="C22" s="34" t="n">
        <v>1</v>
      </c>
      <c r="D22" s="8" t="n">
        <f aca="false">B22*C22</f>
        <v>0</v>
      </c>
      <c r="E22" s="3" t="s">
        <v>243</v>
      </c>
      <c r="G22" s="26" t="s">
        <v>138</v>
      </c>
    </row>
    <row r="23" customFormat="false" ht="15" hidden="false" customHeight="true" outlineLevel="0" collapsed="false">
      <c r="A23" s="3" t="s">
        <v>244</v>
      </c>
      <c r="B23" s="8" t="n">
        <f aca="false">Wyjaśnienia!$B$63*2</f>
        <v>800</v>
      </c>
      <c r="C23" s="34" t="n">
        <f aca="false">Wyjaśnienia!$B$62</f>
        <v>10</v>
      </c>
      <c r="D23" s="8" t="n">
        <f aca="false">B23*C23</f>
        <v>8000</v>
      </c>
      <c r="E23" s="3" t="s">
        <v>245</v>
      </c>
      <c r="G23" s="26" t="s">
        <v>151</v>
      </c>
    </row>
    <row r="24" customFormat="false" ht="15" hidden="false" customHeight="true" outlineLevel="0" collapsed="false">
      <c r="A24" s="3" t="s">
        <v>99</v>
      </c>
      <c r="B24" s="8" t="n">
        <f aca="false">Wyjaśnienia!$B$64</f>
        <v>3000</v>
      </c>
      <c r="C24" s="34" t="n">
        <v>1</v>
      </c>
      <c r="D24" s="8" t="n">
        <f aca="false">B24*C24</f>
        <v>3000</v>
      </c>
      <c r="E24" s="3" t="s">
        <v>246</v>
      </c>
      <c r="G24" s="26" t="s">
        <v>151</v>
      </c>
    </row>
    <row r="25" customFormat="false" ht="15" hidden="false" customHeight="true" outlineLevel="0" collapsed="false">
      <c r="A25" s="3" t="s">
        <v>247</v>
      </c>
      <c r="B25" s="18" t="n">
        <v>8000</v>
      </c>
      <c r="C25" s="34" t="n">
        <v>1</v>
      </c>
      <c r="D25" s="8" t="n">
        <f aca="false">B25*C25</f>
        <v>8000</v>
      </c>
      <c r="E25" s="3" t="s">
        <v>248</v>
      </c>
      <c r="G25" s="26" t="s">
        <v>151</v>
      </c>
    </row>
    <row r="26" customFormat="false" ht="15" hidden="false" customHeight="true" outlineLevel="0" collapsed="false">
      <c r="A26" s="3" t="s">
        <v>249</v>
      </c>
      <c r="B26" s="18" t="n">
        <v>0</v>
      </c>
      <c r="C26" s="34" t="n">
        <v>1</v>
      </c>
      <c r="D26" s="8" t="n">
        <f aca="false">B26*C26</f>
        <v>0</v>
      </c>
      <c r="E26" s="3" t="s">
        <v>250</v>
      </c>
      <c r="G26" s="26" t="s">
        <v>138</v>
      </c>
    </row>
    <row r="27" customFormat="false" ht="15" hidden="false" customHeight="true" outlineLevel="0" collapsed="false">
      <c r="A27" s="3" t="s">
        <v>251</v>
      </c>
      <c r="B27" s="18" t="n">
        <v>0</v>
      </c>
      <c r="C27" s="34" t="n">
        <v>1</v>
      </c>
      <c r="D27" s="8" t="n">
        <f aca="false">B27*C27</f>
        <v>0</v>
      </c>
      <c r="E27" s="3" t="s">
        <v>223</v>
      </c>
      <c r="G27" s="26" t="s">
        <v>151</v>
      </c>
    </row>
    <row r="28" customFormat="false" ht="15" hidden="false" customHeight="true" outlineLevel="0" collapsed="false">
      <c r="A28" s="3" t="s">
        <v>252</v>
      </c>
      <c r="B28" s="18" t="n">
        <v>0</v>
      </c>
      <c r="C28" s="34" t="n">
        <v>1</v>
      </c>
      <c r="D28" s="8" t="n">
        <f aca="false">B28*C28</f>
        <v>0</v>
      </c>
      <c r="E28" s="3" t="s">
        <v>253</v>
      </c>
      <c r="G28" s="26" t="s">
        <v>151</v>
      </c>
    </row>
    <row r="29" customFormat="false" ht="15" hidden="false" customHeight="true" outlineLevel="0" collapsed="false">
      <c r="A29" s="3" t="s">
        <v>183</v>
      </c>
      <c r="B29" s="18" t="n">
        <v>3000</v>
      </c>
      <c r="C29" s="34" t="n">
        <v>1</v>
      </c>
      <c r="D29" s="8" t="n">
        <f aca="false">B29*C29</f>
        <v>3000</v>
      </c>
      <c r="E29" s="3" t="s">
        <v>184</v>
      </c>
    </row>
    <row r="30" customFormat="false" ht="15" hidden="false" customHeight="true" outlineLevel="0" collapsed="false">
      <c r="A30" s="10" t="s">
        <v>185</v>
      </c>
      <c r="D30" s="3" t="n">
        <f aca="false">SUM(D18:D29)</f>
        <v>125200</v>
      </c>
    </row>
    <row r="31" customFormat="false" ht="15" hidden="false" customHeight="true" outlineLevel="0" collapsed="false">
      <c r="A31" s="29"/>
      <c r="B31" s="29"/>
      <c r="C31" s="29"/>
      <c r="D31" s="29"/>
      <c r="E31" s="29"/>
      <c r="F31" s="29"/>
      <c r="G31" s="29"/>
    </row>
    <row r="32" customFormat="false" ht="15" hidden="false" customHeight="true" outlineLevel="0" collapsed="false">
      <c r="A32" s="33" t="s">
        <v>186</v>
      </c>
      <c r="B32" s="33"/>
      <c r="C32" s="33"/>
      <c r="D32" s="33"/>
      <c r="E32" s="33"/>
      <c r="F32" s="33"/>
      <c r="G32" s="33"/>
    </row>
    <row r="33" customFormat="false" ht="15" hidden="false" customHeight="true" outlineLevel="0" collapsed="false">
      <c r="A33" s="3" t="s">
        <v>187</v>
      </c>
      <c r="D33" s="8" t="n">
        <f aca="false">Wyjaśnienia!$B$56+Wyjaśnienia!$B$57</f>
        <v>102000</v>
      </c>
    </row>
    <row r="34" customFormat="false" ht="15" hidden="false" customHeight="true" outlineLevel="0" collapsed="false">
      <c r="A34" s="3" t="s">
        <v>188</v>
      </c>
      <c r="D34" s="8" t="n">
        <f aca="false">E14</f>
        <v>42900</v>
      </c>
    </row>
    <row r="35" customFormat="false" ht="15" hidden="false" customHeight="true" outlineLevel="0" collapsed="false">
      <c r="A35" s="3" t="s">
        <v>224</v>
      </c>
      <c r="D35" s="8" t="n">
        <f aca="false">D30-D33</f>
        <v>23200</v>
      </c>
    </row>
    <row r="36" customFormat="false" ht="15" hidden="false" customHeight="true" outlineLevel="0" collapsed="false">
      <c r="A36" s="3" t="s">
        <v>190</v>
      </c>
      <c r="D36" s="8" t="n">
        <f aca="false">(D34+D35)*Wyjaśnienia!$B$65</f>
        <v>7932</v>
      </c>
    </row>
    <row r="37" customFormat="false" ht="15" hidden="false" customHeight="true" outlineLevel="0" collapsed="false">
      <c r="A37" s="10" t="s">
        <v>192</v>
      </c>
      <c r="D37" s="11" t="n">
        <f aca="false">SUM(D33:D36)</f>
        <v>176032</v>
      </c>
    </row>
    <row r="38" customFormat="false" ht="15" hidden="false" customHeight="true" outlineLevel="0" collapsed="false">
      <c r="A38" s="3" t="s">
        <v>193</v>
      </c>
      <c r="D38" s="8" t="n">
        <f aca="false">D37*Wyjaśnienia!$B$35</f>
        <v>40487.36</v>
      </c>
    </row>
    <row r="39" customFormat="false" ht="15" hidden="false" customHeight="true" outlineLevel="0" collapsed="false">
      <c r="A39" s="10" t="s">
        <v>194</v>
      </c>
      <c r="D39" s="11" t="n">
        <f aca="false">D37+D38</f>
        <v>216519.36</v>
      </c>
    </row>
    <row r="40" customFormat="false" ht="15" hidden="false" customHeight="true" outlineLevel="0" collapsed="false"/>
    <row r="41" customFormat="false" ht="15" hidden="false" customHeight="true" outlineLevel="0" collapsed="false">
      <c r="A41" s="33" t="s">
        <v>254</v>
      </c>
      <c r="B41" s="33"/>
      <c r="C41" s="33"/>
      <c r="D41" s="33"/>
      <c r="E41" s="33"/>
      <c r="F41" s="33"/>
      <c r="G41" s="33"/>
    </row>
    <row r="42" customFormat="false" ht="15" hidden="false" customHeight="true" outlineLevel="0" collapsed="false">
      <c r="A42" s="29" t="s">
        <v>255</v>
      </c>
      <c r="B42" s="29"/>
      <c r="C42" s="29"/>
      <c r="D42" s="29"/>
      <c r="E42" s="29"/>
      <c r="F42" s="29"/>
      <c r="G42" s="29"/>
    </row>
    <row r="43" customFormat="false" ht="15" hidden="false" customHeight="true" outlineLevel="0" collapsed="false">
      <c r="A43" s="10" t="s">
        <v>129</v>
      </c>
      <c r="B43" s="10" t="s">
        <v>160</v>
      </c>
      <c r="C43" s="10" t="s">
        <v>161</v>
      </c>
      <c r="D43" s="10" t="s">
        <v>133</v>
      </c>
      <c r="E43" s="10" t="s">
        <v>134</v>
      </c>
      <c r="G43" s="10" t="s">
        <v>135</v>
      </c>
    </row>
    <row r="44" customFormat="false" ht="15" hidden="false" customHeight="true" outlineLevel="0" collapsed="false">
      <c r="A44" s="3" t="s">
        <v>256</v>
      </c>
      <c r="B44" s="8" t="n">
        <v>0</v>
      </c>
      <c r="C44" s="34" t="n">
        <v>1</v>
      </c>
      <c r="D44" s="8" t="n">
        <f aca="false">B44*C44</f>
        <v>0</v>
      </c>
      <c r="E44" s="3" t="s">
        <v>257</v>
      </c>
    </row>
    <row r="45" customFormat="false" ht="15" hidden="false" customHeight="true" outlineLevel="0" collapsed="false">
      <c r="A45" s="3" t="s">
        <v>258</v>
      </c>
      <c r="B45" s="8" t="n">
        <f aca="false">Wyjaśnienia!$B$17</f>
        <v>220</v>
      </c>
      <c r="C45" s="34" t="n">
        <v>20</v>
      </c>
      <c r="D45" s="8" t="n">
        <f aca="false">B45*C45</f>
        <v>4400</v>
      </c>
      <c r="E45" s="3" t="s">
        <v>259</v>
      </c>
    </row>
  </sheetData>
  <mergeCells count="9">
    <mergeCell ref="A1:G1"/>
    <mergeCell ref="A2:G2"/>
    <mergeCell ref="A3:G3"/>
    <mergeCell ref="A5:G5"/>
    <mergeCell ref="A16:G16"/>
    <mergeCell ref="A31:G31"/>
    <mergeCell ref="A32:G32"/>
    <mergeCell ref="A41:G41"/>
    <mergeCell ref="A42:G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3" width="54"/>
    <col collapsed="false" customWidth="true" hidden="false" outlineLevel="0" max="2" min="2" style="3" width="14"/>
    <col collapsed="false" customWidth="true" hidden="false" outlineLevel="0" max="3" min="3" style="3" width="20"/>
    <col collapsed="false" customWidth="true" hidden="false" outlineLevel="0" max="4" min="4" style="3" width="16"/>
    <col collapsed="false" customWidth="true" hidden="false" outlineLevel="0" max="5" min="5" style="3" width="18"/>
    <col collapsed="false" customWidth="true" hidden="false" outlineLevel="0" max="6" min="6" style="3" width="62"/>
    <col collapsed="false" customWidth="true" hidden="false" outlineLevel="0" max="7" min="7" style="3" width="11"/>
  </cols>
  <sheetData>
    <row r="1" customFormat="false" ht="15" hidden="false" customHeight="true" outlineLevel="0" collapsed="false">
      <c r="A1" s="33" t="s">
        <v>12</v>
      </c>
      <c r="B1" s="33"/>
      <c r="C1" s="33"/>
      <c r="D1" s="33"/>
      <c r="E1" s="33"/>
      <c r="F1" s="33"/>
      <c r="G1" s="33"/>
    </row>
    <row r="2" customFormat="false" ht="15" hidden="false" customHeight="true" outlineLevel="0" collapsed="false">
      <c r="A2" s="29" t="s">
        <v>260</v>
      </c>
      <c r="B2" s="29"/>
      <c r="C2" s="29"/>
      <c r="D2" s="29"/>
      <c r="E2" s="29"/>
      <c r="F2" s="29"/>
      <c r="G2" s="29"/>
    </row>
    <row r="3" customFormat="false" ht="15" hidden="false" customHeight="true" outlineLevel="0" collapsed="false">
      <c r="A3" s="29" t="s">
        <v>261</v>
      </c>
      <c r="B3" s="29"/>
      <c r="C3" s="29"/>
      <c r="D3" s="29"/>
      <c r="E3" s="29"/>
      <c r="F3" s="29"/>
      <c r="G3" s="29"/>
    </row>
    <row r="5" customFormat="false" ht="15" hidden="false" customHeight="true" outlineLevel="0" collapsed="false">
      <c r="A5" s="33" t="s">
        <v>128</v>
      </c>
      <c r="B5" s="33"/>
      <c r="C5" s="33"/>
      <c r="D5" s="33"/>
      <c r="E5" s="33"/>
      <c r="F5" s="33"/>
      <c r="G5" s="33"/>
    </row>
    <row r="6" customFormat="false" ht="15" hidden="false" customHeight="true" outlineLevel="0" collapsed="false">
      <c r="A6" s="10" t="s">
        <v>129</v>
      </c>
      <c r="B6" s="10" t="s">
        <v>130</v>
      </c>
      <c r="C6" s="10" t="s">
        <v>131</v>
      </c>
      <c r="D6" s="10" t="s">
        <v>132</v>
      </c>
      <c r="E6" s="10" t="s">
        <v>133</v>
      </c>
      <c r="F6" s="10" t="s">
        <v>134</v>
      </c>
      <c r="G6" s="10" t="s">
        <v>135</v>
      </c>
    </row>
    <row r="7" customFormat="false" ht="15" hidden="false" customHeight="true" outlineLevel="0" collapsed="false">
      <c r="A7" s="3" t="s">
        <v>262</v>
      </c>
      <c r="B7" s="21" t="n">
        <v>0</v>
      </c>
      <c r="C7" s="21" t="n">
        <v>12</v>
      </c>
      <c r="D7" s="34" t="n">
        <f aca="false">B7+C7*Wyjaśnienia!$B$68/60</f>
        <v>30</v>
      </c>
      <c r="E7" s="8" t="n">
        <f aca="false">D7*Wyjaśnienia!$B$17</f>
        <v>6600</v>
      </c>
      <c r="F7" s="3" t="s">
        <v>263</v>
      </c>
      <c r="G7" s="26" t="s">
        <v>138</v>
      </c>
    </row>
    <row r="8" customFormat="false" ht="15" hidden="false" customHeight="true" outlineLevel="0" collapsed="false">
      <c r="A8" s="3" t="s">
        <v>264</v>
      </c>
      <c r="B8" s="21" t="n">
        <v>5</v>
      </c>
      <c r="C8" s="21" t="n">
        <v>8</v>
      </c>
      <c r="D8" s="34" t="n">
        <f aca="false">B8+C8*Wyjaśnienia!$B$68/60</f>
        <v>25</v>
      </c>
      <c r="E8" s="8" t="n">
        <f aca="false">D8*Wyjaśnienia!$B$17</f>
        <v>5500</v>
      </c>
      <c r="F8" s="3" t="s">
        <v>265</v>
      </c>
      <c r="G8" s="26" t="s">
        <v>138</v>
      </c>
    </row>
    <row r="9" customFormat="false" ht="15" hidden="false" customHeight="true" outlineLevel="0" collapsed="false">
      <c r="A9" s="3" t="s">
        <v>266</v>
      </c>
      <c r="B9" s="21" t="n">
        <v>60</v>
      </c>
      <c r="C9" s="21"/>
      <c r="D9" s="34" t="n">
        <f aca="false">B9+C9*Wyjaśnienia!$B$68/60</f>
        <v>60</v>
      </c>
      <c r="E9" s="8" t="n">
        <f aca="false">D9*Wyjaśnienia!$B$17</f>
        <v>13200</v>
      </c>
      <c r="F9" s="3" t="s">
        <v>267</v>
      </c>
      <c r="G9" s="26" t="s">
        <v>151</v>
      </c>
    </row>
    <row r="10" customFormat="false" ht="15" hidden="false" customHeight="true" outlineLevel="0" collapsed="false">
      <c r="A10" s="3" t="s">
        <v>202</v>
      </c>
      <c r="B10" s="21" t="n">
        <v>20</v>
      </c>
      <c r="C10" s="21"/>
      <c r="D10" s="34" t="n">
        <f aca="false">B10+C10*Wyjaśnienia!$B$68/60</f>
        <v>20</v>
      </c>
      <c r="E10" s="8" t="n">
        <f aca="false">D10*Wyjaśnienia!$B$17</f>
        <v>4400</v>
      </c>
      <c r="F10" s="3" t="s">
        <v>230</v>
      </c>
      <c r="G10" s="26" t="s">
        <v>151</v>
      </c>
    </row>
    <row r="11" customFormat="false" ht="15" hidden="false" customHeight="true" outlineLevel="0" collapsed="false">
      <c r="A11" s="3" t="s">
        <v>268</v>
      </c>
      <c r="B11" s="21" t="n">
        <v>40</v>
      </c>
      <c r="C11" s="21"/>
      <c r="D11" s="34" t="n">
        <f aca="false">B11+C11*Wyjaśnienia!$B$68/60</f>
        <v>40</v>
      </c>
      <c r="E11" s="8" t="n">
        <f aca="false">D11*Wyjaśnienia!$B$17</f>
        <v>8800</v>
      </c>
      <c r="F11" s="3" t="s">
        <v>269</v>
      </c>
      <c r="G11" s="26" t="s">
        <v>151</v>
      </c>
    </row>
    <row r="12" customFormat="false" ht="15" hidden="false" customHeight="true" outlineLevel="0" collapsed="false">
      <c r="A12" s="3" t="s">
        <v>270</v>
      </c>
      <c r="B12" s="21" t="n">
        <v>40</v>
      </c>
      <c r="C12" s="21"/>
      <c r="D12" s="34" t="n">
        <f aca="false">B12+C12*Wyjaśnienia!$B$68/60</f>
        <v>40</v>
      </c>
      <c r="E12" s="8" t="n">
        <f aca="false">D12*Wyjaśnienia!$B$17</f>
        <v>8800</v>
      </c>
      <c r="F12" s="3" t="s">
        <v>271</v>
      </c>
      <c r="G12" s="26" t="s">
        <v>151</v>
      </c>
    </row>
    <row r="13" customFormat="false" ht="15" hidden="false" customHeight="true" outlineLevel="0" collapsed="false">
      <c r="A13" s="3" t="s">
        <v>272</v>
      </c>
      <c r="B13" s="21" t="n">
        <v>25</v>
      </c>
      <c r="C13" s="21"/>
      <c r="D13" s="34" t="n">
        <f aca="false">B13+C13*Wyjaśnienia!$B$68/60</f>
        <v>25</v>
      </c>
      <c r="E13" s="8" t="n">
        <f aca="false">D13*Wyjaśnienia!$B$17</f>
        <v>5500</v>
      </c>
      <c r="F13" s="3" t="s">
        <v>273</v>
      </c>
      <c r="G13" s="26" t="s">
        <v>138</v>
      </c>
    </row>
    <row r="14" customFormat="false" ht="15" hidden="false" customHeight="true" outlineLevel="0" collapsed="false">
      <c r="A14" s="3" t="s">
        <v>274</v>
      </c>
      <c r="B14" s="21" t="n">
        <v>50</v>
      </c>
      <c r="C14" s="21"/>
      <c r="D14" s="34" t="n">
        <f aca="false">B14+C14*Wyjaśnienia!$B$68/60</f>
        <v>50</v>
      </c>
      <c r="E14" s="8" t="n">
        <f aca="false">D14*Wyjaśnienia!$B$17</f>
        <v>11000</v>
      </c>
      <c r="F14" s="3" t="s">
        <v>275</v>
      </c>
      <c r="G14" s="26" t="s">
        <v>138</v>
      </c>
    </row>
    <row r="15" customFormat="false" ht="15" hidden="false" customHeight="true" outlineLevel="0" collapsed="false">
      <c r="A15" s="3" t="s">
        <v>276</v>
      </c>
      <c r="B15" s="3" t="n">
        <v>20</v>
      </c>
      <c r="C15" s="3" t="n">
        <v>3</v>
      </c>
      <c r="D15" s="3" t="n">
        <f aca="false">B15+C15*Wyjaśnienia!$B$68/60</f>
        <v>27.5</v>
      </c>
      <c r="E15" s="3" t="n">
        <f aca="false">D15*Wyjaśnienia!$B$17</f>
        <v>6050</v>
      </c>
      <c r="F15" s="3" t="s">
        <v>277</v>
      </c>
      <c r="G15" s="36" t="s">
        <v>151</v>
      </c>
    </row>
    <row r="16" customFormat="false" ht="15" hidden="false" customHeight="true" outlineLevel="0" collapsed="false">
      <c r="A16" s="10" t="s">
        <v>158</v>
      </c>
      <c r="B16" s="21"/>
      <c r="C16" s="21"/>
      <c r="D16" s="35" t="n">
        <f aca="false">SUM(D7:D15)</f>
        <v>317.5</v>
      </c>
      <c r="E16" s="11" t="n">
        <f aca="false">SUM(E7:E15)</f>
        <v>69850</v>
      </c>
      <c r="F16" s="3" t="s">
        <v>278</v>
      </c>
    </row>
    <row r="17" customFormat="false" ht="15" hidden="false" customHeight="true" outlineLevel="0" collapsed="false"/>
    <row r="18" customFormat="false" ht="15" hidden="false" customHeight="true" outlineLevel="0" collapsed="false">
      <c r="A18" s="33" t="s">
        <v>159</v>
      </c>
      <c r="B18" s="33"/>
      <c r="C18" s="33"/>
      <c r="D18" s="33"/>
      <c r="E18" s="33"/>
      <c r="F18" s="33"/>
      <c r="G18" s="33"/>
    </row>
    <row r="19" customFormat="false" ht="15" hidden="false" customHeight="true" outlineLevel="0" collapsed="false">
      <c r="A19" s="10" t="s">
        <v>129</v>
      </c>
      <c r="B19" s="10" t="s">
        <v>160</v>
      </c>
      <c r="C19" s="10" t="s">
        <v>161</v>
      </c>
      <c r="D19" s="10" t="s">
        <v>133</v>
      </c>
      <c r="E19" s="10" t="s">
        <v>134</v>
      </c>
      <c r="G19" s="10" t="s">
        <v>135</v>
      </c>
    </row>
    <row r="20" customFormat="false" ht="15" hidden="false" customHeight="true" outlineLevel="0" collapsed="false">
      <c r="A20" s="3" t="s">
        <v>279</v>
      </c>
      <c r="B20" s="8" t="n">
        <f aca="false">Wyjaśnienia!$B$69</f>
        <v>180000</v>
      </c>
      <c r="C20" s="34" t="n">
        <v>1</v>
      </c>
      <c r="D20" s="8" t="n">
        <f aca="false">B20*C20</f>
        <v>180000</v>
      </c>
      <c r="E20" s="3" t="s">
        <v>280</v>
      </c>
      <c r="G20" s="26" t="s">
        <v>151</v>
      </c>
    </row>
    <row r="21" customFormat="false" ht="15" hidden="false" customHeight="true" outlineLevel="0" collapsed="false">
      <c r="A21" s="3" t="s">
        <v>175</v>
      </c>
      <c r="B21" s="8" t="n">
        <f aca="false">Wyjaśnienia!$B$70</f>
        <v>12000</v>
      </c>
      <c r="C21" s="34" t="n">
        <v>1</v>
      </c>
      <c r="D21" s="8" t="n">
        <f aca="false">B21*C21</f>
        <v>12000</v>
      </c>
      <c r="E21" s="3" t="s">
        <v>176</v>
      </c>
      <c r="G21" s="26" t="s">
        <v>151</v>
      </c>
    </row>
    <row r="22" customFormat="false" ht="15" hidden="false" customHeight="true" outlineLevel="0" collapsed="false">
      <c r="A22" s="3" t="s">
        <v>212</v>
      </c>
      <c r="B22" s="8" t="n">
        <f aca="false">Wyjaśnienia!$B$71</f>
        <v>1200</v>
      </c>
      <c r="C22" s="34" t="n">
        <v>1</v>
      </c>
      <c r="D22" s="8" t="n">
        <f aca="false">B22*C22</f>
        <v>1200</v>
      </c>
      <c r="E22" s="3" t="s">
        <v>281</v>
      </c>
      <c r="G22" s="26" t="s">
        <v>151</v>
      </c>
    </row>
    <row r="23" customFormat="false" ht="15" hidden="false" customHeight="true" outlineLevel="0" collapsed="false">
      <c r="A23" s="3" t="s">
        <v>282</v>
      </c>
      <c r="B23" s="8" t="n">
        <v>0</v>
      </c>
      <c r="C23" s="34" t="n">
        <v>1</v>
      </c>
      <c r="D23" s="8" t="n">
        <f aca="false">B23*C23</f>
        <v>0</v>
      </c>
      <c r="E23" s="3" t="s">
        <v>283</v>
      </c>
      <c r="G23" s="26" t="s">
        <v>151</v>
      </c>
    </row>
    <row r="24" customFormat="false" ht="15" hidden="false" customHeight="true" outlineLevel="0" collapsed="false">
      <c r="A24" s="3" t="s">
        <v>171</v>
      </c>
      <c r="B24" s="8" t="n">
        <v>0</v>
      </c>
      <c r="C24" s="34" t="n">
        <v>1</v>
      </c>
      <c r="D24" s="8" t="n">
        <f aca="false">B24*C24</f>
        <v>0</v>
      </c>
      <c r="E24" s="3" t="s">
        <v>243</v>
      </c>
      <c r="G24" s="26" t="s">
        <v>138</v>
      </c>
    </row>
    <row r="25" customFormat="false" ht="15" hidden="false" customHeight="true" outlineLevel="0" collapsed="false">
      <c r="A25" s="3" t="s">
        <v>284</v>
      </c>
      <c r="B25" s="8" t="n">
        <v>0</v>
      </c>
      <c r="C25" s="34" t="n">
        <v>1</v>
      </c>
      <c r="D25" s="8" t="n">
        <f aca="false">B25*C25</f>
        <v>0</v>
      </c>
      <c r="E25" s="3" t="s">
        <v>285</v>
      </c>
      <c r="G25" s="26" t="s">
        <v>151</v>
      </c>
    </row>
    <row r="26" customFormat="false" ht="15" hidden="false" customHeight="true" outlineLevel="0" collapsed="false">
      <c r="A26" s="3" t="s">
        <v>286</v>
      </c>
      <c r="B26" s="8" t="n">
        <v>12000</v>
      </c>
      <c r="C26" s="34" t="n">
        <v>1</v>
      </c>
      <c r="D26" s="8" t="n">
        <f aca="false">B26*C26</f>
        <v>12000</v>
      </c>
      <c r="E26" s="3" t="s">
        <v>287</v>
      </c>
      <c r="G26" s="26" t="s">
        <v>151</v>
      </c>
    </row>
    <row r="27" customFormat="false" ht="15" hidden="false" customHeight="true" outlineLevel="0" collapsed="false">
      <c r="A27" s="3" t="s">
        <v>251</v>
      </c>
      <c r="B27" s="8" t="n">
        <v>0</v>
      </c>
      <c r="C27" s="34" t="n">
        <v>1</v>
      </c>
      <c r="D27" s="8" t="n">
        <f aca="false">B27*C27</f>
        <v>0</v>
      </c>
      <c r="E27" s="3" t="s">
        <v>223</v>
      </c>
      <c r="G27" s="26" t="s">
        <v>151</v>
      </c>
    </row>
    <row r="28" customFormat="false" ht="15" hidden="false" customHeight="true" outlineLevel="0" collapsed="false">
      <c r="A28" s="3" t="s">
        <v>288</v>
      </c>
      <c r="B28" s="8" t="n">
        <v>0</v>
      </c>
      <c r="C28" s="34" t="n">
        <v>1</v>
      </c>
      <c r="D28" s="8" t="n">
        <f aca="false">B28*C28</f>
        <v>0</v>
      </c>
      <c r="E28" s="3" t="s">
        <v>289</v>
      </c>
      <c r="G28" s="26" t="s">
        <v>138</v>
      </c>
    </row>
    <row r="29" customFormat="false" ht="15" hidden="false" customHeight="true" outlineLevel="0" collapsed="false">
      <c r="A29" s="3" t="s">
        <v>183</v>
      </c>
      <c r="B29" s="8" t="n">
        <v>3000</v>
      </c>
      <c r="C29" s="34" t="n">
        <v>1</v>
      </c>
      <c r="D29" s="8" t="n">
        <f aca="false">B29*C29</f>
        <v>3000</v>
      </c>
      <c r="E29" s="3" t="s">
        <v>184</v>
      </c>
    </row>
    <row r="30" customFormat="false" ht="15" hidden="false" customHeight="true" outlineLevel="0" collapsed="false">
      <c r="A30" s="3" t="s">
        <v>290</v>
      </c>
      <c r="B30" s="3" t="n">
        <v>1500</v>
      </c>
      <c r="C30" s="3" t="n">
        <v>5</v>
      </c>
      <c r="D30" s="3" t="n">
        <f aca="false">B30*C30</f>
        <v>7500</v>
      </c>
      <c r="E30" s="3" t="s">
        <v>291</v>
      </c>
      <c r="G30" s="36" t="s">
        <v>151</v>
      </c>
    </row>
    <row r="31" customFormat="false" ht="15" hidden="false" customHeight="true" outlineLevel="0" collapsed="false">
      <c r="A31" s="10" t="s">
        <v>185</v>
      </c>
      <c r="B31" s="8"/>
      <c r="C31" s="34"/>
      <c r="D31" s="11" t="n">
        <f aca="false">SUM(D20:D30)</f>
        <v>215700</v>
      </c>
    </row>
    <row r="32" customFormat="false" ht="15" hidden="false" customHeight="true" outlineLevel="0" collapsed="false"/>
    <row r="33" customFormat="false" ht="15" hidden="false" customHeight="true" outlineLevel="0" collapsed="false">
      <c r="A33" s="33" t="s">
        <v>186</v>
      </c>
      <c r="B33" s="33"/>
      <c r="C33" s="33"/>
      <c r="D33" s="33"/>
      <c r="E33" s="33"/>
      <c r="F33" s="33"/>
      <c r="G33" s="33"/>
    </row>
    <row r="34" customFormat="false" ht="15" hidden="false" customHeight="true" outlineLevel="0" collapsed="false">
      <c r="A34" s="3" t="s">
        <v>187</v>
      </c>
      <c r="D34" s="8" t="n">
        <f aca="false">Wyjaśnienia!$B$69+Wyjaśnienia!$B$70</f>
        <v>192000</v>
      </c>
    </row>
    <row r="35" customFormat="false" ht="15" hidden="false" customHeight="true" outlineLevel="0" collapsed="false">
      <c r="A35" s="3" t="s">
        <v>188</v>
      </c>
      <c r="D35" s="8" t="n">
        <f aca="false">Wyjaśnienia!$B$69+Wyjaśnienia!$B$70</f>
        <v>192000</v>
      </c>
    </row>
    <row r="36" customFormat="false" ht="15" hidden="false" customHeight="true" outlineLevel="0" collapsed="false">
      <c r="A36" s="3" t="s">
        <v>224</v>
      </c>
      <c r="D36" s="8" t="n">
        <f aca="false">E16</f>
        <v>69850</v>
      </c>
    </row>
    <row r="37" customFormat="false" ht="15" hidden="false" customHeight="true" outlineLevel="0" collapsed="false">
      <c r="A37" s="3" t="s">
        <v>190</v>
      </c>
      <c r="D37" s="8" t="n">
        <f aca="false">D31-D35</f>
        <v>23700</v>
      </c>
    </row>
    <row r="38" customFormat="false" ht="15" hidden="false" customHeight="true" outlineLevel="0" collapsed="false">
      <c r="A38" s="10" t="s">
        <v>192</v>
      </c>
      <c r="D38" s="11" t="n">
        <f aca="false">(D36+D37)*Wyjaśnienia!$B$76</f>
        <v>11226</v>
      </c>
    </row>
    <row r="39" customFormat="false" ht="15" hidden="false" customHeight="true" outlineLevel="0" collapsed="false">
      <c r="A39" s="3" t="s">
        <v>193</v>
      </c>
      <c r="D39" s="8" t="n">
        <f aca="false">SUM(D35:D38)</f>
        <v>296776</v>
      </c>
    </row>
    <row r="40" customFormat="false" ht="15" hidden="false" customHeight="true" outlineLevel="0" collapsed="false">
      <c r="A40" s="10" t="s">
        <v>194</v>
      </c>
      <c r="D40" s="11" t="n">
        <f aca="false">D39*Wyjaśnienia!$B$35</f>
        <v>68258.48</v>
      </c>
    </row>
    <row r="41" customFormat="false" ht="15" hidden="false" customHeight="true" outlineLevel="0" collapsed="false">
      <c r="D41" s="3" t="n">
        <f aca="false">D39+D40</f>
        <v>365034.48</v>
      </c>
    </row>
  </sheetData>
  <mergeCells count="6">
    <mergeCell ref="A1:G1"/>
    <mergeCell ref="A2:G2"/>
    <mergeCell ref="A3:G3"/>
    <mergeCell ref="A5:G5"/>
    <mergeCell ref="A18:G18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3" width="54"/>
    <col collapsed="false" customWidth="true" hidden="false" outlineLevel="0" max="2" min="2" style="3" width="14"/>
    <col collapsed="false" customWidth="true" hidden="false" outlineLevel="0" max="3" min="3" style="3" width="20"/>
    <col collapsed="false" customWidth="true" hidden="false" outlineLevel="0" max="4" min="4" style="3" width="16"/>
    <col collapsed="false" customWidth="true" hidden="false" outlineLevel="0" max="5" min="5" style="3" width="18"/>
    <col collapsed="false" customWidth="true" hidden="false" outlineLevel="0" max="6" min="6" style="3" width="62"/>
    <col collapsed="false" customWidth="true" hidden="false" outlineLevel="0" max="7" min="7" style="3" width="11"/>
  </cols>
  <sheetData>
    <row r="1" customFormat="false" ht="17.25" hidden="false" customHeight="true" outlineLevel="0" collapsed="false">
      <c r="A1" s="37" t="s">
        <v>14</v>
      </c>
      <c r="B1" s="37"/>
      <c r="C1" s="37"/>
      <c r="D1" s="37"/>
      <c r="E1" s="37"/>
      <c r="F1" s="37"/>
      <c r="G1" s="37"/>
    </row>
    <row r="2" customFormat="false" ht="15" hidden="false" customHeight="true" outlineLevel="0" collapsed="false">
      <c r="A2" s="38" t="s">
        <v>292</v>
      </c>
      <c r="B2" s="38"/>
      <c r="C2" s="38"/>
      <c r="D2" s="38"/>
      <c r="E2" s="38"/>
      <c r="F2" s="38"/>
      <c r="G2" s="38"/>
    </row>
    <row r="3" customFormat="false" ht="15" hidden="false" customHeight="true" outlineLevel="0" collapsed="false">
      <c r="A3" s="38" t="s">
        <v>293</v>
      </c>
      <c r="B3" s="38"/>
      <c r="C3" s="38"/>
      <c r="D3" s="38"/>
      <c r="E3" s="38"/>
      <c r="F3" s="38"/>
      <c r="G3" s="38"/>
    </row>
    <row r="5" customFormat="false" ht="15" hidden="false" customHeight="true" outlineLevel="0" collapsed="false">
      <c r="A5" s="17" t="s">
        <v>294</v>
      </c>
      <c r="B5" s="17"/>
      <c r="C5" s="17"/>
      <c r="D5" s="17"/>
      <c r="E5" s="17"/>
      <c r="F5" s="17"/>
      <c r="G5" s="17"/>
    </row>
    <row r="6" customFormat="false" ht="15" hidden="false" customHeight="true" outlineLevel="0" collapsed="false">
      <c r="A6" s="39" t="s">
        <v>129</v>
      </c>
      <c r="B6" s="40" t="s">
        <v>295</v>
      </c>
      <c r="F6" s="39" t="s">
        <v>134</v>
      </c>
    </row>
    <row r="7" customFormat="false" ht="54.75" hidden="false" customHeight="true" outlineLevel="0" collapsed="false">
      <c r="A7" s="31" t="s">
        <v>296</v>
      </c>
      <c r="B7" s="41" t="n">
        <f aca="false">Wyjaśnienia!$B$18</f>
        <v>150</v>
      </c>
      <c r="F7" s="31" t="s">
        <v>297</v>
      </c>
    </row>
    <row r="8" customFormat="false" ht="15" hidden="false" customHeight="true" outlineLevel="0" collapsed="false">
      <c r="A8" s="31" t="s">
        <v>298</v>
      </c>
      <c r="B8" s="41" t="n">
        <f aca="false">Wyjaśnienia!$B$48</f>
        <v>2</v>
      </c>
      <c r="F8" s="31" t="s">
        <v>299</v>
      </c>
    </row>
    <row r="9" customFormat="false" ht="15" hidden="false" customHeight="true" outlineLevel="0" collapsed="false">
      <c r="A9" s="39" t="s">
        <v>300</v>
      </c>
      <c r="B9" s="42" t="n">
        <f aca="false">B7*B8</f>
        <v>300</v>
      </c>
      <c r="F9" s="31" t="s">
        <v>301</v>
      </c>
    </row>
    <row r="10" customFormat="false" ht="54.75" hidden="false" customHeight="true" outlineLevel="0" collapsed="false">
      <c r="A10" s="31" t="s">
        <v>302</v>
      </c>
      <c r="B10" s="41" t="n">
        <f aca="false">Wyjaśnienia!$B$68</f>
        <v>150</v>
      </c>
      <c r="F10" s="31" t="s">
        <v>303</v>
      </c>
    </row>
    <row r="11" customFormat="false" ht="15" hidden="false" customHeight="true" outlineLevel="0" collapsed="false">
      <c r="A11" s="31" t="s">
        <v>304</v>
      </c>
      <c r="B11" s="41" t="n">
        <f aca="false">Wyjaśnienia!$B$77</f>
        <v>2</v>
      </c>
      <c r="F11" s="31" t="s">
        <v>305</v>
      </c>
    </row>
    <row r="12" customFormat="false" ht="27.75" hidden="false" customHeight="true" outlineLevel="0" collapsed="false">
      <c r="A12" s="39" t="s">
        <v>306</v>
      </c>
      <c r="B12" s="42" t="n">
        <f aca="false">B10*B11</f>
        <v>300</v>
      </c>
      <c r="F12" s="31" t="s">
        <v>307</v>
      </c>
    </row>
    <row r="14" customFormat="false" ht="15" hidden="false" customHeight="true" outlineLevel="0" collapsed="false">
      <c r="A14" s="17" t="s">
        <v>308</v>
      </c>
      <c r="B14" s="17"/>
      <c r="C14" s="17"/>
      <c r="D14" s="17"/>
      <c r="E14" s="17"/>
      <c r="F14" s="17"/>
      <c r="G14" s="17"/>
    </row>
    <row r="15" customFormat="false" ht="15" hidden="false" customHeight="true" outlineLevel="0" collapsed="false">
      <c r="A15" s="39" t="s">
        <v>129</v>
      </c>
      <c r="B15" s="40" t="s">
        <v>309</v>
      </c>
      <c r="C15" s="40" t="s">
        <v>161</v>
      </c>
      <c r="D15" s="40" t="s">
        <v>133</v>
      </c>
      <c r="F15" s="39" t="s">
        <v>134</v>
      </c>
      <c r="G15" s="39" t="s">
        <v>135</v>
      </c>
    </row>
    <row r="16" customFormat="false" ht="15" hidden="false" customHeight="true" outlineLevel="0" collapsed="false">
      <c r="A16" s="31" t="s">
        <v>310</v>
      </c>
      <c r="B16" s="43" t="n">
        <f aca="false">Wyjaśnienia!$B$50</f>
        <v>2500</v>
      </c>
      <c r="C16" s="41" t="n">
        <f aca="false">Wyjaśnienia!$B$51</f>
        <v>15</v>
      </c>
      <c r="D16" s="43" t="n">
        <f aca="false">B16*C16</f>
        <v>37500</v>
      </c>
      <c r="F16" s="31" t="s">
        <v>311</v>
      </c>
      <c r="G16" s="26" t="s">
        <v>138</v>
      </c>
    </row>
    <row r="17" customFormat="false" ht="15" hidden="false" customHeight="true" outlineLevel="0" collapsed="false">
      <c r="A17" s="31" t="s">
        <v>312</v>
      </c>
      <c r="B17" s="43" t="n">
        <f aca="false">Wyjaśnienia!$B$49</f>
        <v>500</v>
      </c>
      <c r="C17" s="41" t="n">
        <f aca="false">ROUNDUP(B9/100,0)</f>
        <v>3</v>
      </c>
      <c r="D17" s="43" t="n">
        <f aca="false">B17*C17</f>
        <v>1500</v>
      </c>
      <c r="F17" s="31" t="s">
        <v>313</v>
      </c>
      <c r="G17" s="26" t="s">
        <v>138</v>
      </c>
    </row>
    <row r="18" customFormat="false" ht="41.25" hidden="false" customHeight="true" outlineLevel="0" collapsed="false">
      <c r="A18" s="31" t="s">
        <v>314</v>
      </c>
      <c r="B18" s="43" t="n">
        <f aca="false">Wyjaśnienia!$B$78</f>
        <v>300</v>
      </c>
      <c r="C18" s="41" t="n">
        <f aca="false">B12</f>
        <v>300</v>
      </c>
      <c r="D18" s="43" t="n">
        <f aca="false">B18*C18</f>
        <v>90000</v>
      </c>
      <c r="F18" s="31" t="s">
        <v>315</v>
      </c>
      <c r="G18" s="26" t="s">
        <v>151</v>
      </c>
    </row>
    <row r="19" customFormat="false" ht="15" hidden="false" customHeight="true" outlineLevel="0" collapsed="false">
      <c r="A19" s="39" t="s">
        <v>316</v>
      </c>
      <c r="D19" s="44" t="n">
        <f aca="false">SUM(D16:D18)</f>
        <v>129000</v>
      </c>
    </row>
    <row r="21" customFormat="false" ht="15" hidden="false" customHeight="true" outlineLevel="0" collapsed="false">
      <c r="A21" s="17" t="s">
        <v>159</v>
      </c>
      <c r="B21" s="17"/>
      <c r="C21" s="17"/>
      <c r="D21" s="17"/>
      <c r="E21" s="17"/>
      <c r="F21" s="17"/>
      <c r="G21" s="17"/>
    </row>
    <row r="22" customFormat="false" ht="27.75" hidden="false" customHeight="true" outlineLevel="0" collapsed="false">
      <c r="A22" s="39" t="s">
        <v>129</v>
      </c>
      <c r="B22" s="40" t="s">
        <v>160</v>
      </c>
      <c r="C22" s="40" t="s">
        <v>161</v>
      </c>
      <c r="D22" s="40" t="s">
        <v>133</v>
      </c>
      <c r="F22" s="39" t="s">
        <v>134</v>
      </c>
      <c r="G22" s="39" t="s">
        <v>135</v>
      </c>
    </row>
    <row r="23" customFormat="false" ht="15" hidden="false" customHeight="true" outlineLevel="0" collapsed="false">
      <c r="A23" s="31" t="s">
        <v>317</v>
      </c>
      <c r="B23" s="43" t="n">
        <v>2000</v>
      </c>
      <c r="C23" s="41" t="n">
        <v>1</v>
      </c>
      <c r="D23" s="43" t="n">
        <f aca="false">B23*C23</f>
        <v>2000</v>
      </c>
      <c r="F23" s="31" t="s">
        <v>318</v>
      </c>
      <c r="G23" s="26" t="s">
        <v>138</v>
      </c>
    </row>
    <row r="24" customFormat="false" ht="27.75" hidden="false" customHeight="true" outlineLevel="0" collapsed="false">
      <c r="A24" s="31" t="s">
        <v>319</v>
      </c>
      <c r="B24" s="43" t="n">
        <v>3000</v>
      </c>
      <c r="C24" s="41" t="n">
        <v>1</v>
      </c>
      <c r="D24" s="43" t="n">
        <f aca="false">B24*C24</f>
        <v>3000</v>
      </c>
      <c r="F24" s="31" t="s">
        <v>320</v>
      </c>
      <c r="G24" s="26" t="s">
        <v>138</v>
      </c>
    </row>
    <row r="25" customFormat="false" ht="54.75" hidden="false" customHeight="true" outlineLevel="0" collapsed="false">
      <c r="A25" s="31" t="s">
        <v>321</v>
      </c>
      <c r="B25" s="43" t="n">
        <v>5000</v>
      </c>
      <c r="C25" s="41" t="n">
        <v>1</v>
      </c>
      <c r="D25" s="43" t="n">
        <f aca="false">B25*C25</f>
        <v>5000</v>
      </c>
      <c r="F25" s="31" t="s">
        <v>322</v>
      </c>
      <c r="G25" s="26" t="s">
        <v>138</v>
      </c>
    </row>
    <row r="26" customFormat="false" ht="41.25" hidden="false" customHeight="true" outlineLevel="0" collapsed="false">
      <c r="A26" s="31" t="s">
        <v>323</v>
      </c>
      <c r="B26" s="43" t="n">
        <v>4000</v>
      </c>
      <c r="C26" s="41" t="n">
        <v>1</v>
      </c>
      <c r="D26" s="43" t="n">
        <f aca="false">B26*C26</f>
        <v>4000</v>
      </c>
      <c r="F26" s="31" t="s">
        <v>324</v>
      </c>
      <c r="G26" s="26" t="s">
        <v>138</v>
      </c>
    </row>
    <row r="27" customFormat="false" ht="15" hidden="false" customHeight="true" outlineLevel="0" collapsed="false">
      <c r="A27" s="39" t="s">
        <v>185</v>
      </c>
      <c r="D27" s="44" t="n">
        <f aca="false">SUM(D23:D26)</f>
        <v>14000</v>
      </c>
    </row>
    <row r="29" customFormat="false" ht="15" hidden="false" customHeight="true" outlineLevel="0" collapsed="false">
      <c r="A29" s="17" t="s">
        <v>186</v>
      </c>
      <c r="B29" s="17"/>
      <c r="C29" s="17"/>
      <c r="D29" s="17"/>
      <c r="E29" s="17"/>
      <c r="F29" s="17"/>
      <c r="G29" s="17"/>
    </row>
    <row r="30" customFormat="false" ht="15" hidden="false" customHeight="true" outlineLevel="0" collapsed="false">
      <c r="A30" s="31" t="s">
        <v>325</v>
      </c>
      <c r="D30" s="43" t="n">
        <f aca="false">D19</f>
        <v>129000</v>
      </c>
    </row>
    <row r="31" customFormat="false" ht="15" hidden="false" customHeight="true" outlineLevel="0" collapsed="false">
      <c r="A31" s="31" t="s">
        <v>189</v>
      </c>
      <c r="D31" s="43" t="n">
        <f aca="false">D27</f>
        <v>14000</v>
      </c>
    </row>
    <row r="32" customFormat="false" ht="15" hidden="false" customHeight="true" outlineLevel="0" collapsed="false">
      <c r="A32" s="31" t="s">
        <v>326</v>
      </c>
      <c r="D32" s="43" t="n">
        <f aca="false">(D30+D31)*Wyjaśnienia!$B$32</f>
        <v>17160</v>
      </c>
    </row>
    <row r="33" customFormat="false" ht="15" hidden="false" customHeight="true" outlineLevel="0" collapsed="false">
      <c r="A33" s="39" t="s">
        <v>192</v>
      </c>
      <c r="D33" s="44" t="n">
        <f aca="false">SUM(D30:D32)</f>
        <v>160160</v>
      </c>
    </row>
    <row r="34" customFormat="false" ht="15" hidden="false" customHeight="true" outlineLevel="0" collapsed="false">
      <c r="A34" s="31" t="s">
        <v>193</v>
      </c>
      <c r="D34" s="43" t="n">
        <f aca="false">D33*Wyjaśnienia!$B$35</f>
        <v>36836.8</v>
      </c>
    </row>
    <row r="35" customFormat="false" ht="15" hidden="false" customHeight="true" outlineLevel="0" collapsed="false">
      <c r="A35" s="39" t="s">
        <v>194</v>
      </c>
      <c r="D35" s="44" t="n">
        <f aca="false">D33+D34</f>
        <v>196996.8</v>
      </c>
    </row>
    <row r="37" customFormat="false" ht="15" hidden="false" customHeight="true" outlineLevel="0" collapsed="false">
      <c r="A37" s="17" t="s">
        <v>327</v>
      </c>
      <c r="B37" s="17"/>
      <c r="C37" s="17"/>
      <c r="D37" s="17"/>
      <c r="E37" s="17"/>
      <c r="F37" s="17"/>
      <c r="G37" s="17"/>
    </row>
    <row r="38" customFormat="false" ht="41.25" hidden="false" customHeight="true" outlineLevel="0" collapsed="false">
      <c r="A38" s="38" t="s">
        <v>328</v>
      </c>
      <c r="B38" s="38"/>
      <c r="C38" s="38"/>
      <c r="D38" s="38"/>
      <c r="E38" s="38"/>
      <c r="F38" s="38"/>
      <c r="G38" s="38"/>
    </row>
    <row r="39" customFormat="false" ht="27.75" hidden="false" customHeight="true" outlineLevel="0" collapsed="false">
      <c r="A39" s="40" t="s">
        <v>329</v>
      </c>
      <c r="B39" s="40" t="s">
        <v>330</v>
      </c>
      <c r="C39" s="40" t="s">
        <v>331</v>
      </c>
      <c r="D39" s="40" t="s">
        <v>332</v>
      </c>
      <c r="E39" s="40" t="s">
        <v>333</v>
      </c>
    </row>
    <row r="40" customFormat="false" ht="15" hidden="false" customHeight="true" outlineLevel="0" collapsed="false">
      <c r="A40" s="41" t="n">
        <v>150</v>
      </c>
      <c r="B40" s="41" t="n">
        <f aca="false">A40*Wyjaśnienia!$B$48</f>
        <v>300</v>
      </c>
      <c r="C40" s="41" t="n">
        <f aca="false">ROUNDUP(B40/100,0)</f>
        <v>3</v>
      </c>
      <c r="D40" s="43" t="n">
        <f aca="false">C40*Wyjaśnienia!$B$49</f>
        <v>1500</v>
      </c>
      <c r="E40" s="41" t="n">
        <f aca="false">ROUNDUP(B40*Wyjaśnienia!$B$52/60,0)</f>
        <v>150</v>
      </c>
    </row>
    <row r="41" customFormat="false" ht="15" hidden="false" customHeight="true" outlineLevel="0" collapsed="false">
      <c r="A41" s="41" t="n">
        <v>1000</v>
      </c>
      <c r="B41" s="41" t="n">
        <f aca="false">A41*Wyjaśnienia!$B$48</f>
        <v>2000</v>
      </c>
      <c r="C41" s="41" t="n">
        <f aca="false">ROUNDUP(B41/100,0)</f>
        <v>20</v>
      </c>
      <c r="D41" s="43" t="n">
        <f aca="false">C41*Wyjaśnienia!$B$49</f>
        <v>10000</v>
      </c>
      <c r="E41" s="41" t="n">
        <f aca="false">ROUNDUP(B41*Wyjaśnienia!$B$52/60,0)</f>
        <v>1000</v>
      </c>
    </row>
    <row r="42" customFormat="false" ht="15" hidden="false" customHeight="true" outlineLevel="0" collapsed="false">
      <c r="A42" s="41" t="n">
        <v>10000</v>
      </c>
      <c r="B42" s="41" t="n">
        <f aca="false">A42*Wyjaśnienia!$B$48</f>
        <v>20000</v>
      </c>
      <c r="C42" s="41" t="n">
        <f aca="false">ROUNDUP(B42/100,0)</f>
        <v>200</v>
      </c>
      <c r="D42" s="43" t="n">
        <f aca="false">C42*Wyjaśnienia!$B$49</f>
        <v>100000</v>
      </c>
      <c r="E42" s="41" t="n">
        <f aca="false">ROUNDUP(B42*Wyjaśnienia!$B$52/60,0)</f>
        <v>10000</v>
      </c>
    </row>
    <row r="43" customFormat="false" ht="15" hidden="false" customHeight="true" outlineLevel="0" collapsed="false">
      <c r="A43" s="41" t="n">
        <v>100000</v>
      </c>
      <c r="B43" s="41" t="n">
        <f aca="false">A43*Wyjaśnienia!$B$48</f>
        <v>200000</v>
      </c>
      <c r="C43" s="41" t="n">
        <f aca="false">ROUNDUP(B43/100,0)</f>
        <v>2000</v>
      </c>
      <c r="D43" s="43" t="n">
        <f aca="false">C43*Wyjaśnienia!$B$49</f>
        <v>1000000</v>
      </c>
      <c r="E43" s="41" t="n">
        <f aca="false">ROUNDUP(B43*Wyjaśnienia!$B$52/60,0)</f>
        <v>100000</v>
      </c>
    </row>
    <row r="44" customFormat="false" ht="15" hidden="false" customHeight="true" outlineLevel="0" collapsed="false">
      <c r="A44" s="41" t="n">
        <v>1000000</v>
      </c>
      <c r="B44" s="41" t="n">
        <f aca="false">A44*Wyjaśnienia!$B$48</f>
        <v>2000000</v>
      </c>
      <c r="C44" s="41" t="n">
        <f aca="false">ROUNDUP(B44/100,0)</f>
        <v>20000</v>
      </c>
      <c r="D44" s="43" t="n">
        <f aca="false">C44*Wyjaśnienia!$B$49</f>
        <v>10000000</v>
      </c>
      <c r="E44" s="41" t="n">
        <f aca="false">ROUNDUP(B44*Wyjaśnienia!$B$52/60,0)</f>
        <v>1000000</v>
      </c>
    </row>
    <row r="46" customFormat="false" ht="27.75" hidden="false" customHeight="true" outlineLevel="0" collapsed="false">
      <c r="A46" s="40" t="s">
        <v>334</v>
      </c>
      <c r="B46" s="40" t="s">
        <v>335</v>
      </c>
      <c r="C46" s="40" t="s">
        <v>336</v>
      </c>
      <c r="D46" s="40" t="s">
        <v>337</v>
      </c>
      <c r="E46" s="40" t="s">
        <v>338</v>
      </c>
    </row>
    <row r="47" customFormat="false" ht="15" hidden="false" customHeight="true" outlineLevel="0" collapsed="false">
      <c r="A47" s="41" t="n">
        <v>30</v>
      </c>
      <c r="B47" s="41" t="n">
        <f aca="false">A47*Wyjaśnienia!$B$77</f>
        <v>60</v>
      </c>
      <c r="C47" s="43" t="n">
        <f aca="false">B47*Wyjaśnienia!$B$78</f>
        <v>18000</v>
      </c>
      <c r="D47" s="41" t="n">
        <f aca="false">B47*2</f>
        <v>120</v>
      </c>
      <c r="E47" s="41" t="n">
        <f aca="false">ROUNDUP(B47/Wyjaśnienia!$B$79,0)</f>
        <v>6</v>
      </c>
    </row>
    <row r="48" customFormat="false" ht="15" hidden="false" customHeight="true" outlineLevel="0" collapsed="false">
      <c r="A48" s="41" t="n">
        <v>150</v>
      </c>
      <c r="B48" s="41" t="n">
        <f aca="false">A48*Wyjaśnienia!$B$77</f>
        <v>300</v>
      </c>
      <c r="C48" s="43" t="n">
        <f aca="false">B48*Wyjaśnienia!$B$78</f>
        <v>90000</v>
      </c>
      <c r="D48" s="41" t="n">
        <f aca="false">B48*2</f>
        <v>600</v>
      </c>
      <c r="E48" s="41" t="n">
        <f aca="false">ROUNDUP(B48/Wyjaśnienia!$B$79,0)</f>
        <v>30</v>
      </c>
    </row>
    <row r="49" customFormat="false" ht="15" hidden="false" customHeight="true" outlineLevel="0" collapsed="false">
      <c r="A49" s="41" t="n">
        <v>500</v>
      </c>
      <c r="B49" s="41" t="n">
        <f aca="false">A49*Wyjaśnienia!$B$77</f>
        <v>1000</v>
      </c>
      <c r="C49" s="43" t="n">
        <f aca="false">B49*Wyjaśnienia!$B$78</f>
        <v>300000</v>
      </c>
      <c r="D49" s="41" t="n">
        <f aca="false">B49*2</f>
        <v>2000</v>
      </c>
      <c r="E49" s="41" t="n">
        <f aca="false">ROUNDUP(B49/Wyjaśnienia!$B$79,0)</f>
        <v>100</v>
      </c>
    </row>
    <row r="50" customFormat="false" ht="15" hidden="false" customHeight="true" outlineLevel="0" collapsed="false">
      <c r="A50" s="41" t="n">
        <v>2000</v>
      </c>
      <c r="B50" s="41" t="n">
        <f aca="false">A50*Wyjaśnienia!$B$77</f>
        <v>4000</v>
      </c>
      <c r="C50" s="43" t="n">
        <f aca="false">B50*Wyjaśnienia!$B$78</f>
        <v>1200000</v>
      </c>
      <c r="D50" s="41" t="n">
        <f aca="false">B50*2</f>
        <v>8000</v>
      </c>
      <c r="E50" s="41" t="n">
        <f aca="false">ROUNDUP(B50/Wyjaśnienia!$B$79,0)</f>
        <v>400</v>
      </c>
    </row>
    <row r="51" customFormat="false" ht="15" hidden="false" customHeight="true" outlineLevel="0" collapsed="false">
      <c r="A51" s="41" t="n">
        <v>10000</v>
      </c>
      <c r="B51" s="41" t="n">
        <f aca="false">A51*Wyjaśnienia!$B$77</f>
        <v>20000</v>
      </c>
      <c r="C51" s="43" t="n">
        <f aca="false">B51*Wyjaśnienia!$B$78</f>
        <v>6000000</v>
      </c>
      <c r="D51" s="41" t="n">
        <f aca="false">B51*2</f>
        <v>40000</v>
      </c>
      <c r="E51" s="41" t="n">
        <f aca="false">ROUNDUP(B51/Wyjaśnienia!$B$79,0)</f>
        <v>2000</v>
      </c>
    </row>
    <row r="53" customFormat="false" ht="27.75" hidden="false" customHeight="true" outlineLevel="0" collapsed="false">
      <c r="A53" s="38" t="s">
        <v>339</v>
      </c>
      <c r="B53" s="38"/>
      <c r="C53" s="38"/>
      <c r="D53" s="38"/>
      <c r="E53" s="38"/>
      <c r="F53" s="38"/>
      <c r="G53" s="38"/>
    </row>
    <row r="55" customFormat="false" ht="27.75" hidden="false" customHeight="true" outlineLevel="0" collapsed="false">
      <c r="A55" s="17" t="s">
        <v>340</v>
      </c>
      <c r="B55" s="17"/>
      <c r="C55" s="17"/>
      <c r="D55" s="17"/>
      <c r="E55" s="17"/>
      <c r="F55" s="17"/>
      <c r="G55" s="17"/>
    </row>
    <row r="56" customFormat="false" ht="15" hidden="false" customHeight="true" outlineLevel="0" collapsed="false">
      <c r="A56" s="29" t="s">
        <v>341</v>
      </c>
      <c r="B56" s="29"/>
      <c r="C56" s="29"/>
      <c r="D56" s="29"/>
      <c r="E56" s="29"/>
      <c r="F56" s="29"/>
      <c r="G56" s="29"/>
    </row>
    <row r="57" customFormat="false" ht="15" hidden="false" customHeight="true" outlineLevel="0" collapsed="false">
      <c r="A57" s="39" t="s">
        <v>129</v>
      </c>
      <c r="B57" s="39" t="s">
        <v>309</v>
      </c>
      <c r="C57" s="39" t="s">
        <v>161</v>
      </c>
      <c r="D57" s="39" t="s">
        <v>133</v>
      </c>
      <c r="F57" s="39" t="s">
        <v>134</v>
      </c>
      <c r="G57" s="39" t="s">
        <v>135</v>
      </c>
    </row>
    <row r="58" customFormat="false" ht="68.25" hidden="false" customHeight="true" outlineLevel="0" collapsed="false">
      <c r="A58" s="3" t="s">
        <v>342</v>
      </c>
      <c r="B58" s="43" t="n">
        <v>0</v>
      </c>
      <c r="C58" s="41" t="n">
        <f aca="false">Wyjaśnienia!$B$24*2</f>
        <v>300</v>
      </c>
      <c r="D58" s="43" t="n">
        <f aca="false">B58*C58</f>
        <v>0</v>
      </c>
      <c r="F58" s="31" t="s">
        <v>343</v>
      </c>
      <c r="G58" s="26" t="s">
        <v>138</v>
      </c>
    </row>
    <row r="59" customFormat="false" ht="54.75" hidden="false" customHeight="true" outlineLevel="0" collapsed="false">
      <c r="A59" s="3" t="s">
        <v>344</v>
      </c>
      <c r="B59" s="43" t="n">
        <v>0</v>
      </c>
      <c r="C59" s="41" t="n">
        <f aca="false">Wyjaśnienia!$B$55*2</f>
        <v>300</v>
      </c>
      <c r="D59" s="43" t="n">
        <f aca="false">B59*C59</f>
        <v>0</v>
      </c>
      <c r="F59" s="31" t="s">
        <v>345</v>
      </c>
      <c r="G59" s="26" t="s">
        <v>138</v>
      </c>
    </row>
    <row r="60" customFormat="false" ht="27.75" hidden="false" customHeight="true" outlineLevel="0" collapsed="false">
      <c r="A60" s="3" t="s">
        <v>346</v>
      </c>
      <c r="B60" s="43" t="n">
        <v>0</v>
      </c>
      <c r="C60" s="41" t="s">
        <v>347</v>
      </c>
      <c r="D60" s="43" t="n">
        <f aca="false">B60*C60</f>
        <v>0</v>
      </c>
      <c r="F60" s="31" t="s">
        <v>348</v>
      </c>
      <c r="G60" s="26" t="s">
        <v>138</v>
      </c>
    </row>
    <row r="61" customFormat="false" ht="27.75" hidden="false" customHeight="true" outlineLevel="0" collapsed="false">
      <c r="A61" s="3" t="s">
        <v>349</v>
      </c>
      <c r="B61" s="43" t="n">
        <v>0</v>
      </c>
      <c r="C61" s="41" t="s">
        <v>347</v>
      </c>
      <c r="D61" s="43" t="n">
        <f aca="false">B61*C61</f>
        <v>0</v>
      </c>
      <c r="F61" s="31" t="s">
        <v>350</v>
      </c>
      <c r="G61" s="26" t="s">
        <v>138</v>
      </c>
    </row>
    <row r="62" customFormat="false" ht="15" hidden="false" customHeight="true" outlineLevel="0" collapsed="false">
      <c r="A62" s="39" t="s">
        <v>351</v>
      </c>
      <c r="D62" s="44" t="n">
        <f aca="false">SUM(D58:D61)</f>
        <v>0</v>
      </c>
    </row>
  </sheetData>
  <mergeCells count="12">
    <mergeCell ref="A1:G1"/>
    <mergeCell ref="A2:G2"/>
    <mergeCell ref="A3:G3"/>
    <mergeCell ref="A5:G5"/>
    <mergeCell ref="A14:G14"/>
    <mergeCell ref="A21:G21"/>
    <mergeCell ref="A29:G29"/>
    <mergeCell ref="A37:G37"/>
    <mergeCell ref="A38:G38"/>
    <mergeCell ref="A53:G53"/>
    <mergeCell ref="A55:G55"/>
    <mergeCell ref="A56:G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2"/>
    <col collapsed="false" customWidth="true" hidden="false" outlineLevel="0" max="7" min="7" style="3" width="11"/>
  </cols>
  <sheetData>
    <row r="1" customFormat="false" ht="17.25" hidden="false" customHeight="true" outlineLevel="0" collapsed="false">
      <c r="A1" s="2" t="s">
        <v>16</v>
      </c>
      <c r="B1" s="2"/>
      <c r="C1" s="2"/>
      <c r="D1" s="2"/>
      <c r="E1" s="2"/>
      <c r="F1" s="2"/>
      <c r="G1" s="2"/>
      <c r="H1" s="3"/>
    </row>
    <row r="2" customFormat="false" ht="15" hidden="false" customHeight="true" outlineLevel="0" collapsed="false">
      <c r="A2" s="4" t="s">
        <v>352</v>
      </c>
      <c r="B2" s="4"/>
      <c r="C2" s="4"/>
      <c r="D2" s="4"/>
      <c r="E2" s="4"/>
      <c r="F2" s="4"/>
      <c r="G2" s="4"/>
      <c r="H2" s="3"/>
    </row>
    <row r="3" customFormat="false" ht="15" hidden="false" customHeight="true" outlineLevel="0" collapsed="false">
      <c r="A3" s="4" t="s">
        <v>127</v>
      </c>
      <c r="B3" s="4"/>
      <c r="C3" s="4"/>
      <c r="D3" s="4"/>
      <c r="E3" s="4"/>
      <c r="F3" s="4"/>
      <c r="G3" s="4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H4" s="3"/>
    </row>
    <row r="5" customFormat="false" ht="15" hidden="false" customHeight="true" outlineLevel="0" collapsed="false">
      <c r="A5" s="5" t="s">
        <v>128</v>
      </c>
      <c r="B5" s="5"/>
      <c r="C5" s="5"/>
      <c r="D5" s="5"/>
      <c r="E5" s="5"/>
      <c r="F5" s="5"/>
      <c r="G5" s="5"/>
      <c r="H5" s="3"/>
    </row>
    <row r="6" customFormat="false" ht="15" hidden="false" customHeight="true" outlineLevel="0" collapsed="false">
      <c r="A6" s="6" t="s">
        <v>129</v>
      </c>
      <c r="B6" s="7" t="s">
        <v>130</v>
      </c>
      <c r="C6" s="7" t="s">
        <v>131</v>
      </c>
      <c r="D6" s="7" t="s">
        <v>132</v>
      </c>
      <c r="E6" s="7" t="s">
        <v>133</v>
      </c>
      <c r="F6" s="6" t="s">
        <v>134</v>
      </c>
      <c r="G6" s="6" t="s">
        <v>135</v>
      </c>
      <c r="H6" s="3"/>
    </row>
    <row r="7" customFormat="false" ht="15" hidden="false" customHeight="true" outlineLevel="0" collapsed="false">
      <c r="A7" s="22" t="s">
        <v>353</v>
      </c>
      <c r="B7" s="23" t="n">
        <v>45</v>
      </c>
      <c r="C7" s="23" t="n">
        <v>0</v>
      </c>
      <c r="D7" s="24" t="n">
        <f aca="false">B7+C7*Wyjaśnienia!$B$18/60</f>
        <v>45</v>
      </c>
      <c r="E7" s="25" t="n">
        <f aca="false">D7*Wyjaśnienia!$B$17</f>
        <v>9900</v>
      </c>
      <c r="F7" s="13" t="s">
        <v>354</v>
      </c>
      <c r="G7" s="26" t="s">
        <v>151</v>
      </c>
      <c r="H7" s="3"/>
    </row>
    <row r="8" customFormat="false" ht="15" hidden="false" customHeight="true" outlineLevel="0" collapsed="false">
      <c r="A8" s="22" t="s">
        <v>355</v>
      </c>
      <c r="B8" s="23" t="n">
        <v>40</v>
      </c>
      <c r="C8" s="23" t="n">
        <v>0</v>
      </c>
      <c r="D8" s="24" t="n">
        <f aca="false">B8+C8*Wyjaśnienia!$B$18/60</f>
        <v>40</v>
      </c>
      <c r="E8" s="25" t="n">
        <f aca="false">D8*Wyjaśnienia!$B$17</f>
        <v>8800</v>
      </c>
      <c r="F8" s="13" t="s">
        <v>356</v>
      </c>
      <c r="G8" s="26" t="s">
        <v>151</v>
      </c>
      <c r="H8" s="3"/>
    </row>
    <row r="9" customFormat="false" ht="15" hidden="false" customHeight="true" outlineLevel="0" collapsed="false">
      <c r="A9" s="22" t="s">
        <v>357</v>
      </c>
      <c r="B9" s="23" t="n">
        <v>0</v>
      </c>
      <c r="C9" s="23" t="n">
        <v>4</v>
      </c>
      <c r="D9" s="24" t="n">
        <f aca="false">B9+C9*Wyjaśnienia!$B$18/60</f>
        <v>10</v>
      </c>
      <c r="E9" s="25" t="n">
        <f aca="false">D9*Wyjaśnienia!$B$17</f>
        <v>2200</v>
      </c>
      <c r="F9" s="13" t="s">
        <v>358</v>
      </c>
      <c r="G9" s="26" t="s">
        <v>138</v>
      </c>
      <c r="H9" s="3"/>
    </row>
    <row r="10" customFormat="false" ht="15" hidden="false" customHeight="true" outlineLevel="0" collapsed="false">
      <c r="A10" s="22"/>
      <c r="B10" s="23"/>
      <c r="C10" s="23"/>
      <c r="D10" s="24"/>
      <c r="E10" s="25"/>
      <c r="F10" s="13"/>
      <c r="G10" s="34"/>
      <c r="H10" s="3"/>
    </row>
    <row r="11" customFormat="false" ht="15" hidden="false" customHeight="true" outlineLevel="0" collapsed="false">
      <c r="A11" s="22"/>
      <c r="B11" s="23"/>
      <c r="C11" s="23"/>
      <c r="D11" s="24"/>
      <c r="E11" s="25"/>
      <c r="F11" s="13"/>
      <c r="G11" s="34"/>
      <c r="H11" s="3"/>
    </row>
    <row r="12" customFormat="false" ht="15" hidden="false" customHeight="true" outlineLevel="0" collapsed="false">
      <c r="A12" s="22"/>
      <c r="B12" s="23"/>
      <c r="C12" s="23"/>
      <c r="D12" s="24"/>
      <c r="E12" s="25"/>
      <c r="F12" s="13"/>
      <c r="G12" s="34"/>
      <c r="H12" s="3"/>
    </row>
    <row r="13" customFormat="false" ht="15" hidden="false" customHeight="true" outlineLevel="0" collapsed="false">
      <c r="A13" s="22" t="s">
        <v>359</v>
      </c>
      <c r="B13" s="23" t="n">
        <v>50</v>
      </c>
      <c r="C13" s="23" t="n">
        <v>0</v>
      </c>
      <c r="D13" s="24" t="n">
        <f aca="false">B13+C13*Wyjaśnienia!$B$18/60</f>
        <v>50</v>
      </c>
      <c r="E13" s="25" t="n">
        <f aca="false">D13*Wyjaśnienia!$B$17</f>
        <v>11000</v>
      </c>
      <c r="F13" s="13" t="s">
        <v>360</v>
      </c>
      <c r="G13" s="26" t="s">
        <v>138</v>
      </c>
      <c r="H13" s="3"/>
    </row>
    <row r="14" customFormat="false" ht="15" hidden="false" customHeight="true" outlineLevel="0" collapsed="false">
      <c r="A14" s="22" t="s">
        <v>361</v>
      </c>
      <c r="B14" s="23" t="n">
        <v>72</v>
      </c>
      <c r="C14" s="23" t="n">
        <v>0</v>
      </c>
      <c r="D14" s="24" t="n">
        <f aca="false">B14+C14*Wyjaśnienia!$B$18/60</f>
        <v>72</v>
      </c>
      <c r="E14" s="25" t="n">
        <f aca="false">D14*Wyjaśnienia!$B$17</f>
        <v>15840</v>
      </c>
      <c r="F14" s="13"/>
      <c r="G14" s="26" t="s">
        <v>138</v>
      </c>
    </row>
    <row r="15" customFormat="false" ht="15" hidden="false" customHeight="true" outlineLevel="0" collapsed="false">
      <c r="A15" s="6" t="s">
        <v>158</v>
      </c>
      <c r="B15" s="3"/>
      <c r="C15" s="3"/>
      <c r="D15" s="27" t="n">
        <f aca="false">SUM(D7:D14)</f>
        <v>217</v>
      </c>
      <c r="E15" s="9" t="n">
        <f aca="false">SUM(E7:E14)</f>
        <v>47740</v>
      </c>
      <c r="F15" s="3"/>
      <c r="H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H16" s="3"/>
    </row>
    <row r="17" customFormat="false" ht="15" hidden="false" customHeight="true" outlineLevel="0" collapsed="false">
      <c r="A17" s="5" t="s">
        <v>159</v>
      </c>
      <c r="B17" s="5"/>
      <c r="C17" s="5"/>
      <c r="D17" s="5"/>
      <c r="E17" s="5"/>
      <c r="F17" s="5"/>
      <c r="G17" s="5"/>
      <c r="H17" s="3"/>
    </row>
    <row r="18" customFormat="false" ht="15" hidden="false" customHeight="true" outlineLevel="0" collapsed="false">
      <c r="A18" s="6" t="s">
        <v>129</v>
      </c>
      <c r="B18" s="7" t="s">
        <v>160</v>
      </c>
      <c r="C18" s="7" t="s">
        <v>161</v>
      </c>
      <c r="D18" s="7" t="s">
        <v>133</v>
      </c>
      <c r="E18" s="6" t="s">
        <v>134</v>
      </c>
      <c r="F18" s="3"/>
      <c r="G18" s="6" t="s">
        <v>135</v>
      </c>
      <c r="H18" s="3"/>
    </row>
    <row r="19" customFormat="false" ht="15" hidden="false" customHeight="true" outlineLevel="0" collapsed="false">
      <c r="A19" s="22"/>
      <c r="B19" s="28"/>
      <c r="C19" s="23"/>
      <c r="D19" s="25"/>
      <c r="E19" s="13"/>
      <c r="F19" s="3"/>
      <c r="G19" s="34"/>
      <c r="H19" s="3"/>
    </row>
    <row r="20" customFormat="false" ht="15" hidden="false" customHeight="true" outlineLevel="0" collapsed="false">
      <c r="A20" s="22"/>
      <c r="B20" s="28"/>
      <c r="C20" s="23"/>
      <c r="D20" s="25"/>
      <c r="E20" s="13"/>
      <c r="F20" s="3"/>
      <c r="G20" s="34"/>
      <c r="H20" s="3"/>
    </row>
    <row r="21" customFormat="false" ht="15" hidden="false" customHeight="true" outlineLevel="0" collapsed="false">
      <c r="A21" s="22"/>
      <c r="B21" s="28"/>
      <c r="C21" s="23"/>
      <c r="D21" s="25"/>
      <c r="E21" s="13"/>
      <c r="F21" s="3"/>
      <c r="G21" s="34"/>
      <c r="H21" s="3"/>
    </row>
    <row r="22" customFormat="false" ht="15" hidden="false" customHeight="true" outlineLevel="0" collapsed="false">
      <c r="A22" s="22" t="s">
        <v>362</v>
      </c>
      <c r="B22" s="28" t="n">
        <v>40000</v>
      </c>
      <c r="C22" s="23" t="n">
        <v>1</v>
      </c>
      <c r="D22" s="25" t="n">
        <f aca="false">B22*C22</f>
        <v>40000</v>
      </c>
      <c r="E22" s="13" t="s">
        <v>363</v>
      </c>
      <c r="F22" s="3"/>
      <c r="G22" s="26" t="s">
        <v>151</v>
      </c>
      <c r="H22" s="3"/>
    </row>
    <row r="23" customFormat="false" ht="15" hidden="false" customHeight="true" outlineLevel="0" collapsed="false">
      <c r="A23" s="22" t="s">
        <v>364</v>
      </c>
      <c r="B23" s="28" t="n">
        <v>4000</v>
      </c>
      <c r="C23" s="23" t="n">
        <v>1</v>
      </c>
      <c r="D23" s="25" t="n">
        <f aca="false">B23*C23</f>
        <v>4000</v>
      </c>
      <c r="E23" s="13" t="s">
        <v>365</v>
      </c>
      <c r="F23" s="3"/>
      <c r="G23" s="26" t="s">
        <v>151</v>
      </c>
      <c r="H23" s="3"/>
    </row>
    <row r="24" customFormat="false" ht="15" hidden="false" customHeight="true" outlineLevel="0" collapsed="false">
      <c r="A24" s="22" t="s">
        <v>366</v>
      </c>
      <c r="B24" s="28" t="n">
        <v>3000</v>
      </c>
      <c r="C24" s="23" t="n">
        <v>1</v>
      </c>
      <c r="D24" s="25" t="n">
        <f aca="false">B24*C24</f>
        <v>3000</v>
      </c>
      <c r="E24" s="13" t="s">
        <v>367</v>
      </c>
      <c r="F24" s="3"/>
      <c r="G24" s="26" t="s">
        <v>151</v>
      </c>
      <c r="H24" s="3"/>
    </row>
    <row r="25" customFormat="false" ht="15" hidden="false" customHeight="true" outlineLevel="0" collapsed="false">
      <c r="A25" s="22" t="s">
        <v>368</v>
      </c>
      <c r="B25" s="28" t="n">
        <v>4000</v>
      </c>
      <c r="C25" s="23" t="n">
        <v>1</v>
      </c>
      <c r="D25" s="25" t="n">
        <f aca="false">B25*C25</f>
        <v>4000</v>
      </c>
      <c r="E25" s="13" t="s">
        <v>369</v>
      </c>
      <c r="F25" s="3"/>
      <c r="G25" s="26" t="s">
        <v>151</v>
      </c>
      <c r="H25" s="3"/>
    </row>
    <row r="26" customFormat="false" ht="15" hidden="false" customHeight="true" outlineLevel="0" collapsed="false">
      <c r="A26" s="22" t="s">
        <v>370</v>
      </c>
      <c r="B26" s="28" t="n">
        <v>0</v>
      </c>
      <c r="C26" s="23" t="n">
        <v>1</v>
      </c>
      <c r="D26" s="25" t="n">
        <f aca="false">B26*C26</f>
        <v>0</v>
      </c>
      <c r="E26" s="13" t="s">
        <v>371</v>
      </c>
      <c r="F26" s="3"/>
      <c r="G26" s="26" t="s">
        <v>151</v>
      </c>
      <c r="H26" s="3"/>
    </row>
    <row r="27" customFormat="false" ht="15" hidden="false" customHeight="true" outlineLevel="0" collapsed="false">
      <c r="A27" s="22"/>
      <c r="B27" s="28"/>
      <c r="C27" s="23"/>
      <c r="D27" s="25"/>
      <c r="E27" s="13"/>
      <c r="F27" s="3"/>
      <c r="G27" s="34"/>
      <c r="H27" s="3"/>
    </row>
    <row r="28" customFormat="false" ht="15" hidden="false" customHeight="true" outlineLevel="0" collapsed="false">
      <c r="A28" s="22"/>
      <c r="B28" s="28"/>
      <c r="C28" s="23"/>
      <c r="D28" s="25"/>
      <c r="E28" s="13"/>
      <c r="F28" s="3"/>
      <c r="G28" s="34"/>
      <c r="H28" s="3"/>
    </row>
    <row r="29" customFormat="false" ht="15" hidden="false" customHeight="true" outlineLevel="0" collapsed="false">
      <c r="A29" s="22"/>
      <c r="B29" s="28"/>
      <c r="C29" s="23"/>
      <c r="D29" s="25"/>
      <c r="E29" s="13"/>
      <c r="F29" s="3"/>
      <c r="G29" s="34"/>
      <c r="H29" s="3"/>
    </row>
    <row r="30" customFormat="false" ht="15" hidden="false" customHeight="true" outlineLevel="0" collapsed="false">
      <c r="A30" s="31"/>
      <c r="B30" s="18"/>
      <c r="C30" s="32"/>
      <c r="D30" s="8"/>
      <c r="F30" s="31"/>
      <c r="G30" s="34"/>
    </row>
    <row r="31" customFormat="false" ht="15" hidden="false" customHeight="true" outlineLevel="0" collapsed="false">
      <c r="A31" s="31" t="s">
        <v>372</v>
      </c>
      <c r="B31" s="18" t="n">
        <v>0</v>
      </c>
      <c r="C31" s="32" t="n">
        <v>1</v>
      </c>
      <c r="D31" s="8" t="n">
        <f aca="false">B31*C31</f>
        <v>0</v>
      </c>
      <c r="E31" s="1" t="s">
        <v>373</v>
      </c>
      <c r="F31" s="31"/>
      <c r="G31" s="26" t="s">
        <v>138</v>
      </c>
    </row>
    <row r="32" customFormat="false" ht="15" hidden="false" customHeight="true" outlineLevel="0" collapsed="false">
      <c r="A32" s="31" t="s">
        <v>374</v>
      </c>
      <c r="B32" s="18" t="n">
        <v>40000</v>
      </c>
      <c r="C32" s="32" t="n">
        <v>1</v>
      </c>
      <c r="D32" s="8" t="n">
        <f aca="false">B32*C32</f>
        <v>40000</v>
      </c>
      <c r="E32" s="1" t="s">
        <v>375</v>
      </c>
      <c r="F32" s="31"/>
      <c r="G32" s="26" t="s">
        <v>151</v>
      </c>
    </row>
    <row r="33" customFormat="false" ht="15" hidden="false" customHeight="true" outlineLevel="0" collapsed="false">
      <c r="A33" s="15" t="s">
        <v>185</v>
      </c>
      <c r="B33" s="15"/>
      <c r="C33" s="15"/>
      <c r="D33" s="15"/>
      <c r="E33" s="15"/>
      <c r="F33" s="15"/>
      <c r="G33" s="15"/>
      <c r="H33" s="3"/>
    </row>
    <row r="34" customFormat="false" ht="15" hidden="false" customHeight="true" outlineLevel="0" collapsed="false">
      <c r="A34" s="29"/>
      <c r="B34" s="29"/>
      <c r="C34" s="29"/>
      <c r="D34" s="29"/>
      <c r="E34" s="29"/>
      <c r="F34" s="29"/>
      <c r="G34" s="29"/>
      <c r="H34" s="3"/>
    </row>
    <row r="35" customFormat="false" ht="15" hidden="false" customHeight="true" outlineLevel="0" collapsed="false">
      <c r="A35" s="5" t="s">
        <v>186</v>
      </c>
      <c r="B35" s="5"/>
      <c r="C35" s="5"/>
      <c r="D35" s="5"/>
      <c r="E35" s="5"/>
      <c r="F35" s="5"/>
      <c r="G35" s="5"/>
      <c r="H35" s="3"/>
    </row>
    <row r="36" customFormat="false" ht="15" hidden="false" customHeight="true" outlineLevel="0" collapsed="false">
      <c r="A36" s="22" t="s">
        <v>188</v>
      </c>
      <c r="B36" s="3"/>
      <c r="C36" s="3"/>
      <c r="D36" s="8" t="n">
        <f aca="false">E15</f>
        <v>47740</v>
      </c>
      <c r="E36" s="3"/>
      <c r="F36" s="3"/>
      <c r="H36" s="3"/>
    </row>
    <row r="37" customFormat="false" ht="15" hidden="false" customHeight="true" outlineLevel="0" collapsed="false">
      <c r="A37" s="22" t="s">
        <v>189</v>
      </c>
      <c r="B37" s="3"/>
      <c r="C37" s="3"/>
      <c r="D37" s="8" t="n">
        <f aca="false">SUM(D19:D32)</f>
        <v>91000</v>
      </c>
      <c r="E37" s="3"/>
      <c r="F37" s="3"/>
      <c r="H37" s="3"/>
    </row>
    <row r="38" customFormat="false" ht="15" hidden="false" customHeight="true" outlineLevel="0" collapsed="false">
      <c r="A38" s="22" t="s">
        <v>376</v>
      </c>
      <c r="B38" s="3"/>
      <c r="C38" s="3"/>
      <c r="D38" s="8" t="n">
        <f aca="false">D36*Wyjaśnienia!$B$33+(D36+D37)*0.1</f>
        <v>23422</v>
      </c>
      <c r="E38" s="3" t="s">
        <v>377</v>
      </c>
      <c r="F38" s="3"/>
      <c r="H38" s="3"/>
    </row>
    <row r="39" customFormat="false" ht="15" hidden="false" customHeight="true" outlineLevel="0" collapsed="false">
      <c r="A39" s="6" t="s">
        <v>192</v>
      </c>
      <c r="B39" s="3"/>
      <c r="C39" s="3"/>
      <c r="D39" s="9" t="n">
        <f aca="false">SUM(D36:D38)</f>
        <v>162162</v>
      </c>
      <c r="E39" s="3"/>
      <c r="F39" s="3"/>
      <c r="H39" s="3"/>
    </row>
    <row r="40" customFormat="false" ht="15" hidden="false" customHeight="true" outlineLevel="0" collapsed="false">
      <c r="A40" s="22" t="s">
        <v>193</v>
      </c>
      <c r="B40" s="3"/>
      <c r="C40" s="3"/>
      <c r="D40" s="8" t="n">
        <f aca="false">D39*Wyjaśnienia!$B$35</f>
        <v>37297.26</v>
      </c>
      <c r="E40" s="3"/>
      <c r="F40" s="3"/>
      <c r="H40" s="3"/>
    </row>
    <row r="41" customFormat="false" ht="15" hidden="false" customHeight="true" outlineLevel="0" collapsed="false">
      <c r="A41" s="6" t="s">
        <v>194</v>
      </c>
      <c r="B41" s="3"/>
      <c r="C41" s="3"/>
      <c r="D41" s="30" t="n">
        <f aca="false">D39+D40</f>
        <v>199459.26</v>
      </c>
      <c r="E41" s="3"/>
      <c r="F41" s="3"/>
      <c r="H41" s="3"/>
    </row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</sheetData>
  <mergeCells count="8">
    <mergeCell ref="A1:G1"/>
    <mergeCell ref="A2:G2"/>
    <mergeCell ref="A3:G3"/>
    <mergeCell ref="A5:G5"/>
    <mergeCell ref="A17:G17"/>
    <mergeCell ref="A33:G33"/>
    <mergeCell ref="A34:G34"/>
    <mergeCell ref="A35:G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3593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2"/>
    <col collapsed="false" customWidth="true" hidden="false" outlineLevel="0" max="7" min="7" style="3" width="11"/>
  </cols>
  <sheetData>
    <row r="1" customFormat="false" ht="17.25" hidden="false" customHeight="true" outlineLevel="0" collapsed="false">
      <c r="A1" s="2" t="s">
        <v>378</v>
      </c>
      <c r="B1" s="2"/>
      <c r="C1" s="2"/>
      <c r="D1" s="2"/>
      <c r="E1" s="2"/>
      <c r="F1" s="2"/>
      <c r="G1" s="2"/>
      <c r="H1" s="3"/>
    </row>
    <row r="2" customFormat="false" ht="15" hidden="false" customHeight="true" outlineLevel="0" collapsed="false">
      <c r="A2" s="4" t="s">
        <v>379</v>
      </c>
      <c r="B2" s="4"/>
      <c r="C2" s="4"/>
      <c r="D2" s="4"/>
      <c r="E2" s="4"/>
      <c r="F2" s="4"/>
      <c r="G2" s="4"/>
      <c r="H2" s="3"/>
    </row>
    <row r="3" customFormat="false" ht="15" hidden="false" customHeight="true" outlineLevel="0" collapsed="false">
      <c r="A3" s="4" t="s">
        <v>127</v>
      </c>
      <c r="B3" s="4"/>
      <c r="C3" s="4"/>
      <c r="D3" s="4"/>
      <c r="E3" s="4"/>
      <c r="F3" s="4"/>
      <c r="G3" s="4"/>
      <c r="H3" s="3"/>
    </row>
    <row r="4" customFormat="false" ht="15" hidden="false" customHeight="true" outlineLevel="0" collapsed="false">
      <c r="A4" s="3"/>
      <c r="B4" s="3"/>
      <c r="C4" s="3"/>
      <c r="D4" s="3"/>
      <c r="E4" s="3"/>
      <c r="F4" s="3"/>
      <c r="H4" s="3"/>
    </row>
    <row r="5" customFormat="false" ht="15" hidden="false" customHeight="true" outlineLevel="0" collapsed="false">
      <c r="A5" s="5" t="s">
        <v>128</v>
      </c>
      <c r="B5" s="5"/>
      <c r="C5" s="5"/>
      <c r="D5" s="5"/>
      <c r="E5" s="5"/>
      <c r="F5" s="5"/>
      <c r="G5" s="5"/>
      <c r="H5" s="3"/>
    </row>
    <row r="6" customFormat="false" ht="15" hidden="false" customHeight="true" outlineLevel="0" collapsed="false">
      <c r="A6" s="6" t="s">
        <v>129</v>
      </c>
      <c r="B6" s="7" t="s">
        <v>130</v>
      </c>
      <c r="C6" s="7" t="s">
        <v>131</v>
      </c>
      <c r="D6" s="7" t="s">
        <v>132</v>
      </c>
      <c r="E6" s="7" t="s">
        <v>133</v>
      </c>
      <c r="F6" s="6" t="s">
        <v>134</v>
      </c>
      <c r="G6" s="6" t="s">
        <v>135</v>
      </c>
      <c r="H6" s="3"/>
    </row>
    <row r="7" customFormat="false" ht="15" hidden="false" customHeight="true" outlineLevel="0" collapsed="false">
      <c r="A7" s="22" t="s">
        <v>380</v>
      </c>
      <c r="B7" s="23" t="n">
        <v>45</v>
      </c>
      <c r="C7" s="23" t="n">
        <v>0</v>
      </c>
      <c r="D7" s="24" t="n">
        <f aca="false">B7+C7*Wyjaśnienia!$B$18/60</f>
        <v>45</v>
      </c>
      <c r="E7" s="25" t="n">
        <f aca="false">D7*Wyjaśnienia!$B$17</f>
        <v>9900</v>
      </c>
      <c r="F7" s="13" t="s">
        <v>381</v>
      </c>
      <c r="G7" s="26" t="s">
        <v>151</v>
      </c>
      <c r="H7" s="3"/>
    </row>
    <row r="8" customFormat="false" ht="15" hidden="false" customHeight="true" outlineLevel="0" collapsed="false">
      <c r="A8" s="6" t="s">
        <v>158</v>
      </c>
      <c r="B8" s="3"/>
      <c r="C8" s="3"/>
      <c r="D8" s="27" t="n">
        <f aca="false">SUM(D7:D7)</f>
        <v>45</v>
      </c>
      <c r="E8" s="9" t="n">
        <f aca="false">SUM(E7:E7)</f>
        <v>9900</v>
      </c>
      <c r="F8" s="3"/>
      <c r="H8" s="3"/>
    </row>
    <row r="9" customFormat="false" ht="15" hidden="false" customHeight="true" outlineLevel="0" collapsed="false">
      <c r="A9" s="3"/>
      <c r="B9" s="3"/>
      <c r="C9" s="3"/>
      <c r="D9" s="3"/>
      <c r="E9" s="3"/>
      <c r="F9" s="3"/>
      <c r="H9" s="3"/>
    </row>
    <row r="10" customFormat="false" ht="15" hidden="false" customHeight="true" outlineLevel="0" collapsed="false">
      <c r="A10" s="5" t="s">
        <v>159</v>
      </c>
      <c r="B10" s="5"/>
      <c r="C10" s="5"/>
      <c r="D10" s="5"/>
      <c r="E10" s="5"/>
      <c r="F10" s="5"/>
      <c r="G10" s="5"/>
      <c r="H10" s="3"/>
    </row>
    <row r="11" customFormat="false" ht="15" hidden="false" customHeight="true" outlineLevel="0" collapsed="false">
      <c r="A11" s="6" t="s">
        <v>129</v>
      </c>
      <c r="B11" s="7" t="s">
        <v>160</v>
      </c>
      <c r="C11" s="7" t="s">
        <v>161</v>
      </c>
      <c r="D11" s="7" t="s">
        <v>133</v>
      </c>
      <c r="E11" s="6" t="s">
        <v>134</v>
      </c>
      <c r="F11" s="3"/>
      <c r="G11" s="6" t="s">
        <v>135</v>
      </c>
      <c r="H11" s="3"/>
    </row>
    <row r="12" customFormat="false" ht="15" hidden="false" customHeight="true" outlineLevel="0" collapsed="false">
      <c r="A12" s="22" t="s">
        <v>382</v>
      </c>
      <c r="B12" s="28" t="n">
        <v>8000</v>
      </c>
      <c r="C12" s="23" t="n">
        <v>1</v>
      </c>
      <c r="D12" s="25" t="n">
        <f aca="false">B12*C12</f>
        <v>8000</v>
      </c>
      <c r="E12" s="13" t="s">
        <v>383</v>
      </c>
      <c r="F12" s="3"/>
      <c r="G12" s="26" t="s">
        <v>151</v>
      </c>
      <c r="H12" s="3"/>
    </row>
    <row r="13" customFormat="false" ht="15" hidden="false" customHeight="true" outlineLevel="0" collapsed="false">
      <c r="A13" s="22" t="s">
        <v>384</v>
      </c>
      <c r="B13" s="28" t="n">
        <v>1500</v>
      </c>
      <c r="C13" s="23" t="n">
        <v>1</v>
      </c>
      <c r="D13" s="25" t="n">
        <f aca="false">B13*C13</f>
        <v>1500</v>
      </c>
      <c r="E13" s="13" t="s">
        <v>385</v>
      </c>
      <c r="F13" s="3"/>
      <c r="G13" s="26" t="s">
        <v>151</v>
      </c>
      <c r="H13" s="3"/>
    </row>
    <row r="14" customFormat="false" ht="15" hidden="false" customHeight="true" outlineLevel="0" collapsed="false">
      <c r="A14" s="22" t="s">
        <v>386</v>
      </c>
      <c r="B14" s="28" t="n">
        <v>4000</v>
      </c>
      <c r="C14" s="23" t="n">
        <v>1</v>
      </c>
      <c r="D14" s="25" t="n">
        <f aca="false">B14*C14</f>
        <v>4000</v>
      </c>
      <c r="E14" s="13" t="s">
        <v>387</v>
      </c>
      <c r="F14" s="3"/>
      <c r="G14" s="26" t="s">
        <v>151</v>
      </c>
      <c r="H14" s="3"/>
    </row>
    <row r="15" customFormat="false" ht="15" hidden="false" customHeight="true" outlineLevel="0" collapsed="false">
      <c r="A15" s="22" t="s">
        <v>388</v>
      </c>
      <c r="B15" s="28" t="n">
        <v>32000</v>
      </c>
      <c r="C15" s="23" t="n">
        <v>1</v>
      </c>
      <c r="D15" s="25" t="n">
        <f aca="false">B15*C15</f>
        <v>32000</v>
      </c>
      <c r="E15" s="13" t="s">
        <v>389</v>
      </c>
      <c r="F15" s="3"/>
      <c r="G15" s="26" t="s">
        <v>151</v>
      </c>
      <c r="H15" s="3"/>
    </row>
    <row r="16" customFormat="false" ht="15" hidden="false" customHeight="true" outlineLevel="0" collapsed="false">
      <c r="A16" s="22" t="s">
        <v>390</v>
      </c>
      <c r="B16" s="28" t="n">
        <v>0</v>
      </c>
      <c r="C16" s="23" t="n">
        <v>1</v>
      </c>
      <c r="D16" s="25" t="n">
        <f aca="false">B16*C16</f>
        <v>0</v>
      </c>
      <c r="E16" s="13" t="s">
        <v>391</v>
      </c>
      <c r="G16" s="26" t="s">
        <v>151</v>
      </c>
    </row>
    <row r="17" customFormat="false" ht="15" hidden="false" customHeight="true" outlineLevel="0" collapsed="false">
      <c r="A17" s="22" t="s">
        <v>392</v>
      </c>
      <c r="B17" s="28" t="n">
        <v>0</v>
      </c>
      <c r="C17" s="23" t="n">
        <v>1</v>
      </c>
      <c r="D17" s="25" t="n">
        <f aca="false">B17*C17</f>
        <v>0</v>
      </c>
      <c r="E17" s="13" t="s">
        <v>393</v>
      </c>
      <c r="G17" s="26" t="s">
        <v>151</v>
      </c>
    </row>
    <row r="18" customFormat="false" ht="15" hidden="false" customHeight="true" outlineLevel="0" collapsed="false">
      <c r="A18" s="22" t="s">
        <v>394</v>
      </c>
      <c r="B18" s="28" t="n">
        <v>0</v>
      </c>
      <c r="C18" s="23" t="n">
        <v>1</v>
      </c>
      <c r="D18" s="25" t="n">
        <f aca="false">B18*C18</f>
        <v>0</v>
      </c>
      <c r="E18" s="13" t="s">
        <v>395</v>
      </c>
      <c r="G18" s="26" t="s">
        <v>151</v>
      </c>
    </row>
    <row r="19" customFormat="false" ht="15" hidden="false" customHeight="true" outlineLevel="0" collapsed="false">
      <c r="A19" s="22" t="s">
        <v>396</v>
      </c>
      <c r="B19" s="28" t="n">
        <v>0</v>
      </c>
      <c r="C19" s="23" t="n">
        <v>1</v>
      </c>
      <c r="D19" s="25" t="n">
        <f aca="false">B19*C19</f>
        <v>0</v>
      </c>
      <c r="E19" s="13" t="s">
        <v>397</v>
      </c>
      <c r="G19" s="26" t="s">
        <v>151</v>
      </c>
    </row>
    <row r="20" customFormat="false" ht="15" hidden="false" customHeight="true" outlineLevel="0" collapsed="false">
      <c r="A20" s="6" t="s">
        <v>185</v>
      </c>
      <c r="B20" s="3"/>
      <c r="C20" s="3"/>
      <c r="D20" s="9" t="n">
        <f aca="false">SUM(D12:D19)</f>
        <v>45500</v>
      </c>
      <c r="E20" s="3"/>
      <c r="F20" s="3"/>
      <c r="H20" s="3"/>
    </row>
    <row r="21" customFormat="false" ht="15" hidden="false" customHeight="true" outlineLevel="0" collapsed="false">
      <c r="A21" s="3"/>
      <c r="H21" s="3"/>
    </row>
    <row r="22" customFormat="false" ht="15" hidden="false" customHeight="true" outlineLevel="0" collapsed="false">
      <c r="A22" s="5" t="s">
        <v>186</v>
      </c>
      <c r="B22" s="5"/>
      <c r="C22" s="5"/>
      <c r="D22" s="5"/>
      <c r="E22" s="5"/>
      <c r="F22" s="5"/>
      <c r="G22" s="5"/>
      <c r="H22" s="3"/>
    </row>
    <row r="23" customFormat="false" ht="15" hidden="false" customHeight="true" outlineLevel="0" collapsed="false">
      <c r="A23" s="22" t="s">
        <v>188</v>
      </c>
      <c r="D23" s="8" t="n">
        <f aca="false">E8</f>
        <v>9900</v>
      </c>
      <c r="H23" s="3"/>
    </row>
    <row r="24" customFormat="false" ht="15" hidden="false" customHeight="true" outlineLevel="0" collapsed="false">
      <c r="A24" s="22" t="s">
        <v>189</v>
      </c>
      <c r="B24" s="3"/>
      <c r="C24" s="3"/>
      <c r="D24" s="8" t="n">
        <f aca="false">D20</f>
        <v>45500</v>
      </c>
      <c r="E24" s="3"/>
      <c r="F24" s="3"/>
      <c r="H24" s="3"/>
    </row>
    <row r="25" customFormat="false" ht="15" hidden="false" customHeight="true" outlineLevel="0" collapsed="false">
      <c r="A25" s="22" t="s">
        <v>398</v>
      </c>
      <c r="B25" s="3"/>
      <c r="C25" s="3"/>
      <c r="D25" s="8" t="n">
        <f aca="false">(D23+D24)*Wyjaśnienia!$B$32</f>
        <v>6648</v>
      </c>
      <c r="E25" s="3"/>
      <c r="F25" s="3"/>
      <c r="H25" s="3"/>
    </row>
    <row r="26" customFormat="false" ht="15" hidden="false" customHeight="true" outlineLevel="0" collapsed="false">
      <c r="A26" s="6" t="s">
        <v>192</v>
      </c>
      <c r="B26" s="3"/>
      <c r="C26" s="3"/>
      <c r="D26" s="9" t="n">
        <f aca="false">SUM(D23:D25)</f>
        <v>62048</v>
      </c>
      <c r="E26" s="3"/>
      <c r="F26" s="3"/>
      <c r="H26" s="3"/>
    </row>
    <row r="27" customFormat="false" ht="15" hidden="false" customHeight="true" outlineLevel="0" collapsed="false">
      <c r="A27" s="22" t="s">
        <v>193</v>
      </c>
      <c r="B27" s="3"/>
      <c r="C27" s="3"/>
      <c r="D27" s="8" t="n">
        <f aca="false">D26*Wyjaśnienia!$B$35</f>
        <v>14271.04</v>
      </c>
      <c r="E27" s="3"/>
      <c r="F27" s="3"/>
      <c r="H27" s="3"/>
    </row>
    <row r="28" customFormat="false" ht="15" hidden="false" customHeight="true" outlineLevel="0" collapsed="false">
      <c r="A28" s="6" t="s">
        <v>194</v>
      </c>
      <c r="B28" s="3"/>
      <c r="C28" s="3"/>
      <c r="D28" s="30" t="n">
        <f aca="false">D26+D27</f>
        <v>76319.04</v>
      </c>
      <c r="E28" s="3"/>
      <c r="F28" s="3"/>
      <c r="H28" s="3"/>
    </row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</sheetData>
  <mergeCells count="6">
    <mergeCell ref="A1:G1"/>
    <mergeCell ref="A2:G2"/>
    <mergeCell ref="A3:G3"/>
    <mergeCell ref="A5:G5"/>
    <mergeCell ref="A10:G10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3" width="62"/>
    <col collapsed="false" customWidth="true" hidden="false" outlineLevel="0" max="2" min="2" style="3" width="16"/>
    <col collapsed="false" customWidth="true" hidden="false" outlineLevel="0" max="4" min="3" style="3" width="14"/>
    <col collapsed="false" customWidth="true" hidden="false" outlineLevel="0" max="5" min="5" style="3" width="70"/>
    <col collapsed="false" customWidth="true" hidden="false" outlineLevel="0" max="6" min="6" style="3" width="30"/>
    <col collapsed="false" customWidth="true" hidden="false" outlineLevel="0" max="7" min="7" style="3" width="11"/>
  </cols>
  <sheetData>
    <row r="1" customFormat="false" ht="15" hidden="false" customHeight="true" outlineLevel="0" collapsed="false">
      <c r="A1" s="29" t="s">
        <v>399</v>
      </c>
      <c r="B1" s="29"/>
      <c r="C1" s="29"/>
      <c r="D1" s="29"/>
      <c r="E1" s="29"/>
      <c r="F1" s="29"/>
      <c r="G1" s="29"/>
    </row>
    <row r="2" customFormat="false" ht="15" hidden="false" customHeight="true" outlineLevel="0" collapsed="false">
      <c r="A2" s="29" t="s">
        <v>400</v>
      </c>
      <c r="B2" s="29"/>
      <c r="C2" s="29"/>
      <c r="D2" s="29"/>
      <c r="E2" s="29"/>
      <c r="F2" s="29"/>
      <c r="G2" s="29"/>
    </row>
    <row r="3" customFormat="false" ht="15" hidden="false" customHeight="true" outlineLevel="0" collapsed="false">
      <c r="A3" s="29" t="s">
        <v>401</v>
      </c>
      <c r="B3" s="29"/>
      <c r="C3" s="29"/>
      <c r="D3" s="29"/>
      <c r="E3" s="29"/>
      <c r="F3" s="29"/>
      <c r="G3" s="29"/>
    </row>
    <row r="5" customFormat="false" ht="15" hidden="false" customHeight="true" outlineLevel="0" collapsed="false">
      <c r="A5" s="29" t="s">
        <v>128</v>
      </c>
      <c r="B5" s="29"/>
      <c r="C5" s="29"/>
      <c r="D5" s="29"/>
      <c r="E5" s="29"/>
      <c r="F5" s="29"/>
      <c r="G5" s="29"/>
    </row>
    <row r="6" customFormat="false" ht="15" hidden="false" customHeight="true" outlineLevel="0" collapsed="false">
      <c r="A6" s="3" t="s">
        <v>129</v>
      </c>
      <c r="B6" s="3" t="s">
        <v>130</v>
      </c>
      <c r="D6" s="3" t="s">
        <v>132</v>
      </c>
      <c r="E6" s="3" t="s">
        <v>133</v>
      </c>
      <c r="F6" s="3" t="s">
        <v>134</v>
      </c>
      <c r="G6" s="3" t="s">
        <v>135</v>
      </c>
    </row>
    <row r="7" customFormat="false" ht="15" hidden="false" customHeight="true" outlineLevel="0" collapsed="false">
      <c r="A7" s="3" t="s">
        <v>402</v>
      </c>
      <c r="B7" s="3" t="n">
        <v>50</v>
      </c>
      <c r="D7" s="3" t="n">
        <f aca="false">B7</f>
        <v>50</v>
      </c>
      <c r="E7" s="3" t="n">
        <f aca="false">D7*Wyjaśnienia!$B$17</f>
        <v>11000</v>
      </c>
      <c r="G7" s="36" t="s">
        <v>138</v>
      </c>
    </row>
    <row r="8" customFormat="false" ht="15" hidden="false" customHeight="true" outlineLevel="0" collapsed="false">
      <c r="A8" s="3" t="s">
        <v>403</v>
      </c>
      <c r="B8" s="3" t="n">
        <v>25</v>
      </c>
      <c r="D8" s="3" t="n">
        <f aca="false">B8</f>
        <v>25</v>
      </c>
      <c r="E8" s="3" t="n">
        <f aca="false">D8*Wyjaśnienia!$B$17</f>
        <v>5500</v>
      </c>
      <c r="G8" s="36" t="s">
        <v>138</v>
      </c>
    </row>
    <row r="9" customFormat="false" ht="15" hidden="false" customHeight="true" outlineLevel="0" collapsed="false">
      <c r="A9" s="3" t="s">
        <v>404</v>
      </c>
      <c r="B9" s="3" t="n">
        <v>160</v>
      </c>
      <c r="D9" s="3" t="n">
        <f aca="false">B9</f>
        <v>160</v>
      </c>
      <c r="E9" s="3" t="n">
        <f aca="false">D9*Wyjaśnienia!$B$17</f>
        <v>35200</v>
      </c>
      <c r="G9" s="36" t="s">
        <v>138</v>
      </c>
    </row>
    <row r="10" customFormat="false" ht="15" hidden="false" customHeight="true" outlineLevel="0" collapsed="false">
      <c r="A10" s="3" t="s">
        <v>405</v>
      </c>
      <c r="B10" s="3" t="n">
        <v>120</v>
      </c>
      <c r="D10" s="3" t="n">
        <f aca="false">B10</f>
        <v>120</v>
      </c>
      <c r="E10" s="3" t="n">
        <f aca="false">D10*Wyjaśnienia!$B$17</f>
        <v>26400</v>
      </c>
      <c r="F10" s="3" t="s">
        <v>406</v>
      </c>
      <c r="G10" s="36" t="s">
        <v>138</v>
      </c>
    </row>
    <row r="11" customFormat="false" ht="15" hidden="false" customHeight="true" outlineLevel="0" collapsed="false">
      <c r="A11" s="3" t="s">
        <v>158</v>
      </c>
      <c r="D11" s="3" t="n">
        <f aca="false">SUM(D7:D10)</f>
        <v>355</v>
      </c>
      <c r="E11" s="3" t="n">
        <f aca="false">SUM(E7:E10)</f>
        <v>78100</v>
      </c>
    </row>
    <row r="13" customFormat="false" ht="15" hidden="false" customHeight="true" outlineLevel="0" collapsed="false">
      <c r="A13" s="29" t="s">
        <v>159</v>
      </c>
      <c r="B13" s="29"/>
      <c r="C13" s="29"/>
      <c r="D13" s="29"/>
      <c r="E13" s="29"/>
      <c r="F13" s="29"/>
      <c r="G13" s="29"/>
    </row>
    <row r="14" customFormat="false" ht="15" hidden="false" customHeight="true" outlineLevel="0" collapsed="false">
      <c r="A14" s="3" t="s">
        <v>129</v>
      </c>
      <c r="B14" s="3" t="s">
        <v>160</v>
      </c>
      <c r="C14" s="3" t="s">
        <v>161</v>
      </c>
      <c r="D14" s="3" t="s">
        <v>133</v>
      </c>
      <c r="E14" s="3" t="s">
        <v>134</v>
      </c>
      <c r="G14" s="3" t="s">
        <v>135</v>
      </c>
    </row>
    <row r="15" customFormat="false" ht="15" hidden="false" customHeight="true" outlineLevel="0" collapsed="false">
      <c r="A15" s="3" t="s">
        <v>407</v>
      </c>
      <c r="B15" s="3" t="n">
        <v>3000</v>
      </c>
      <c r="C15" s="3" t="n">
        <v>1</v>
      </c>
      <c r="D15" s="3" t="n">
        <f aca="false">B15*C15</f>
        <v>3000</v>
      </c>
      <c r="E15" s="3" t="s">
        <v>408</v>
      </c>
      <c r="G15" s="36" t="s">
        <v>138</v>
      </c>
    </row>
    <row r="16" customFormat="false" ht="15" hidden="false" customHeight="true" outlineLevel="0" collapsed="false">
      <c r="A16" s="3" t="s">
        <v>409</v>
      </c>
      <c r="B16" s="3" t="n">
        <v>6000</v>
      </c>
      <c r="C16" s="3" t="n">
        <v>1</v>
      </c>
      <c r="D16" s="3" t="n">
        <f aca="false">B16*C16</f>
        <v>6000</v>
      </c>
      <c r="E16" s="3" t="s">
        <v>410</v>
      </c>
      <c r="G16" s="36" t="s">
        <v>138</v>
      </c>
    </row>
    <row r="17" customFormat="false" ht="15" hidden="false" customHeight="true" outlineLevel="0" collapsed="false">
      <c r="A17" s="3" t="s">
        <v>411</v>
      </c>
      <c r="B17" s="3" t="n">
        <v>10000</v>
      </c>
      <c r="C17" s="3" t="n">
        <v>1</v>
      </c>
      <c r="D17" s="3" t="n">
        <f aca="false">B17*C17</f>
        <v>10000</v>
      </c>
      <c r="E17" s="3" t="s">
        <v>412</v>
      </c>
      <c r="G17" s="36" t="s">
        <v>138</v>
      </c>
    </row>
    <row r="18" customFormat="false" ht="15" hidden="false" customHeight="true" outlineLevel="0" collapsed="false">
      <c r="A18" s="3" t="s">
        <v>413</v>
      </c>
      <c r="B18" s="3" t="n">
        <v>15000</v>
      </c>
      <c r="C18" s="3" t="n">
        <v>1</v>
      </c>
      <c r="D18" s="3" t="n">
        <f aca="false">B18*C18</f>
        <v>15000</v>
      </c>
      <c r="E18" s="3" t="s">
        <v>414</v>
      </c>
      <c r="G18" s="36" t="s">
        <v>138</v>
      </c>
    </row>
    <row r="19" customFormat="false" ht="15" hidden="false" customHeight="true" outlineLevel="0" collapsed="false">
      <c r="A19" s="3" t="s">
        <v>415</v>
      </c>
      <c r="B19" s="3" t="n">
        <v>6000</v>
      </c>
      <c r="C19" s="3" t="n">
        <v>1</v>
      </c>
      <c r="D19" s="3" t="n">
        <f aca="false">B19*C19</f>
        <v>6000</v>
      </c>
      <c r="E19" s="3" t="s">
        <v>416</v>
      </c>
      <c r="G19" s="36" t="s">
        <v>138</v>
      </c>
    </row>
    <row r="20" customFormat="false" ht="15" hidden="false" customHeight="true" outlineLevel="0" collapsed="false">
      <c r="A20" s="3" t="s">
        <v>417</v>
      </c>
      <c r="B20" s="3" t="n">
        <v>30000</v>
      </c>
      <c r="C20" s="3" t="n">
        <v>1</v>
      </c>
      <c r="D20" s="3" t="n">
        <f aca="false">B20*C20</f>
        <v>30000</v>
      </c>
      <c r="E20" s="3" t="s">
        <v>418</v>
      </c>
      <c r="G20" s="36" t="s">
        <v>138</v>
      </c>
    </row>
    <row r="21" customFormat="false" ht="15" hidden="false" customHeight="true" outlineLevel="0" collapsed="false">
      <c r="A21" s="3" t="s">
        <v>419</v>
      </c>
      <c r="B21" s="3" t="n">
        <v>4500</v>
      </c>
      <c r="C21" s="3" t="n">
        <v>1</v>
      </c>
      <c r="D21" s="3" t="n">
        <f aca="false">B21*C21</f>
        <v>4500</v>
      </c>
      <c r="G21" s="36" t="s">
        <v>138</v>
      </c>
    </row>
    <row r="22" customFormat="false" ht="15" hidden="false" customHeight="true" outlineLevel="0" collapsed="false">
      <c r="A22" s="3" t="s">
        <v>185</v>
      </c>
      <c r="D22" s="3" t="n">
        <f aca="false">SUM(D15:D21)</f>
        <v>74500</v>
      </c>
    </row>
    <row r="24" customFormat="false" ht="15" hidden="false" customHeight="true" outlineLevel="0" collapsed="false">
      <c r="A24" s="29" t="s">
        <v>186</v>
      </c>
      <c r="B24" s="29"/>
      <c r="C24" s="29"/>
      <c r="D24" s="29"/>
      <c r="E24" s="29"/>
      <c r="F24" s="29"/>
      <c r="G24" s="29"/>
    </row>
    <row r="25" customFormat="false" ht="15" hidden="false" customHeight="true" outlineLevel="0" collapsed="false">
      <c r="A25" s="3" t="s">
        <v>188</v>
      </c>
      <c r="D25" s="3" t="n">
        <f aca="false">E11</f>
        <v>78100</v>
      </c>
    </row>
    <row r="26" customFormat="false" ht="15" hidden="false" customHeight="true" outlineLevel="0" collapsed="false">
      <c r="A26" s="3" t="s">
        <v>189</v>
      </c>
      <c r="D26" s="3" t="n">
        <f aca="false">D22</f>
        <v>74500</v>
      </c>
    </row>
    <row r="27" customFormat="false" ht="15" hidden="false" customHeight="true" outlineLevel="0" collapsed="false">
      <c r="A27" s="3" t="s">
        <v>376</v>
      </c>
      <c r="D27" s="3" t="n">
        <f aca="false">D25*Wyjaśnienia!$B$33+(D25+D26)*0.1</f>
        <v>30880</v>
      </c>
      <c r="E27" s="3" t="s">
        <v>377</v>
      </c>
    </row>
    <row r="28" customFormat="false" ht="15" hidden="false" customHeight="true" outlineLevel="0" collapsed="false">
      <c r="A28" s="3" t="s">
        <v>192</v>
      </c>
      <c r="D28" s="3" t="n">
        <f aca="false">SUM(D25:D27)</f>
        <v>183480</v>
      </c>
    </row>
    <row r="29" customFormat="false" ht="15" hidden="false" customHeight="true" outlineLevel="0" collapsed="false">
      <c r="A29" s="3" t="s">
        <v>193</v>
      </c>
      <c r="D29" s="3" t="n">
        <f aca="false">D28*Wyjaśnienia!$B$35</f>
        <v>42200.4</v>
      </c>
    </row>
    <row r="30" customFormat="false" ht="15" hidden="false" customHeight="true" outlineLevel="0" collapsed="false">
      <c r="A30" s="3" t="s">
        <v>194</v>
      </c>
      <c r="D30" s="3" t="n">
        <f aca="false">D28+D29</f>
        <v>225680.4</v>
      </c>
    </row>
  </sheetData>
  <mergeCells count="6">
    <mergeCell ref="A1:G1"/>
    <mergeCell ref="A2:G2"/>
    <mergeCell ref="A3:G3"/>
    <mergeCell ref="A5:G5"/>
    <mergeCell ref="A13:G1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2026-10-24T14:25:55Z</dcterms:created>
  <dc:creator>openpyxl</dc:creator>
  <dc:description/>
  <dc:language>en-US</dc:language>
  <cp:lastModifiedBy/>
  <dcterms:modified xsi:type="dcterms:W3CDTF">2026-10-31T12:03:41Z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