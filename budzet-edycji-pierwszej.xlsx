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<sst xmlns="http://schemas.openxmlformats.org/spreadsheetml/2006/main" count="534" uniqueCount="378">
  <si>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</si>
  <si>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</si>
  <si>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</si>
  <si>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</si>
  <si>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</si>
  <si>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</si>
  <si>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</si>
  <si>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</si>
  <si>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</si>
  <si>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</si>
  <si>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</si>
  <si>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</si>
  <si>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</si>
  <si>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</si>
  <si>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</si>
  <si>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</si>
  <si>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</si>
  <si>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</si>
  <si>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</si>
  <si>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</si>
  <si>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</si>
  <si>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</si>
  <si>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</si>
  <si>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</si>
  <si>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</si>
  <si>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</si>
  <si>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</si>
  <si>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</si>
  <si>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</si>
  <si>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</si>
  <si>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</si>
  <si>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</si>
  <si>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</si>
  <si>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</si>
  <si>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</si>
  <si>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</si>
  <si>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</si>
  <si>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</si>
  <si>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</si>
  <si>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</si>
  <si>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</si>
  <si>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</si>
  <si>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</si>
  <si>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</si>
  <si>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</si>
  <si>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</si>
  <si>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</si>
  <si>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</si>
  <si>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</si>
  <si>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</si>
  <si>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</si>
  <si>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</si>
  <si>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</si>
  <si>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</si>
  <si>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</si>
  <si>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</si>
  <si>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</si>
  <si>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</si>
  <si>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</si>
  <si>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</si>
  <si>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</si>
  <si>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</si>
  <si>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</si>
  <si>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</si>
  <si>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</si>
  <si>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</si>
  <si>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</si>
  <si>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</si>
  <si>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</si>
  <si>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</si>
  <si>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</si>
  <si>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</si>
  <si>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</si>
  <si>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</si>
  <si>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</si>
  <si>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</si>
  <si>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</si>
  <si>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</si>
  <si>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</si>
  <si>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</si>
  <si>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</si>
  <si>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</si>
  <si>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</si>
  <si>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</si>
  <si>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</si>
  <si>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</si>
  <si>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</si>
  <si>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</si>
  <si>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</si>
  <si>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</si>
  <si>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</si>
  <si>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</si>
  <si>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</si>
  <si>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</si>
  <si>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</si>
  <si>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</si>
  <si>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</si>
  <si>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</si>
  <si>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</si>
  <si>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</si>
  <si>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</si>
  <si>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</si>
  <si>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Nagroda publiczności filmu (brutto)</t>
  </si>
  <si>
    <t xml:space="preserve">Jedna nagroda, dla filmu z największą liczbą głosów.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</si>
  <si>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</si>
  <si>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</si>
  <si>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</si>
  <si>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</si>
  <si>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</si>
  <si>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</si>
  <si>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</si>
  <si>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</si>
  <si>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</si>
  <si>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</si>
  <si>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</si>
  <si>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</si>
  <si>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</si>
  <si>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</si>
  <si>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</si>
  <si>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</si>
  <si>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</si>
  <si>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</si>
  <si>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</si>
  <si>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</si>
  <si>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</si>
  <si>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</si>
  <si>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</si>
  <si>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</si>
  <si>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</si>
  <si>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</si>
  <si>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</si>
  <si>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</si>
  <si>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</si>
  <si>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</si>
  <si>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</si>
  <si>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</si>
  <si>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</si>
  <si>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</si>
  <si>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</si>
  <si>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</si>
  <si>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</si>
  <si>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</si>
  <si>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</si>
  <si>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</si>
  <si>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</si>
  <si>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</si>
  <si>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</si>
  <si>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</si>
  <si>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</si>
  <si>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</si>
  <si>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</si>
  <si>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</si>
  <si>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</si>
  <si>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</si>
  <si>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</si>
  <si>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</si>
  <si>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</si>
  <si>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</si>
  <si>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</si>
  <si>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</si>
  <si>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</si>
  <si>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</si>
  <si>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</si>
  <si>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</si>
  <si>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</si>
  <si>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Nagroda publiczności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</si>
  <si>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</si>
  <si>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</si>
  <si>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</si>
  <si>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</si>
  <si>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</si>
  <si>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</si>
  <si>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</si>
  <si>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</si>
  <si>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</si>
  <si>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</si>
  <si>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</si>
  <si>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</si>
  <si>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</si>
  <si>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</si>
  <si>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</si>
  <si>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</si>
  <si>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</si>
  <si>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</si>
  <si>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</si>
  <si>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</si>
  <si>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</si>
  <si>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</si>
  <si>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</si>
  <si>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</si>
  <si>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</si>
  <si>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</si>
  <si>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</si>
  <si>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</si>
  <si>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</si>
  <si>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</si>
  <si>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</si>
  <si>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</si>
  <si>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</si>
  <si>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</si>
  <si>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</si>
  <si>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</si>
  <si>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</si>
  <si>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</si>
  <si>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</si>
  <si>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</si>
  <si>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</si>
  <si>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</si>
  <si>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</si>
  <si>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</si>
  <si>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</si>
  <si>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</si>
  <si>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</si>
  <si>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</si>
  <si>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</si>
  <si>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</si>
  <si>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</si>
  <si>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</si>
  <si>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</si>
  <si>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</si>
  <si>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</si>
  <si>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</si>
  <si>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</si>
  <si>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</si>
  <si>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</si>
  <si>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</si>
  <si>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</si>
  <si>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</si>
  <si>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</si>
  <si>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</si>
  <si>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</si>
  <si>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</si>
  <si>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</si>
  <si>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</si>
  <si>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</si>
  <si>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</si>
  <si>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</si>
  <si>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</si>
  <si>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</si>
  <si>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</si>
  <si>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</si>
  <si>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</si>
  <si>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</si>
  <si>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</si>
  <si>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</si>
  <si>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</si>
  <si>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</si>
  <si>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</si>
  <si>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</si>
  <si>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</si>
  <si>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</si>
  <si>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</si>
  <si>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</si>
  <si>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</si>
  <si>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</si>
  <si>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</si>
  <si>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</si>
  <si>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</si>
  <si>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</si>
  <si>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</si>
  <si>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</si>
  <si>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</si>
  <si>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</si>
  <si>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</si>
  <si>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</si>
  <si>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</si>
  <si>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</si>
  <si>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</si>
  <si>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</si>
  <si>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</si>
  <si>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</si>
  <si>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</si>
  <si>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</si>
  <si>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</si>
  <si>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</si>
  <si>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</si>
  <si>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</si>
  <si>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</si>
  <si>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</si>
  <si>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</si>
  <si>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</si>
  <si>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</si>
  <si>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</si>
  <si>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</si>
  <si>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</si>
  <si>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</si>
  <si>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</si>
  <si>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</si>
  <si>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</si>
  <si>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</si>
  <si>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</si>
  <si>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</si>
  <si>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</si>
  <si>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</si>
  <si>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</si>
  <si>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</si>
  <si>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</si>
  <si>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</si>
  <si>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</si>
  <si>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</si>
  <si>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</si>
  <si>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</si>
  <si>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</si>
  <si>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</si>
  <si>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</si>
  <si>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</si>
  <si>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</si>
  <si>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</si>
  <si>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</si>
  <si>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</si>
  <si>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</si>
  <si>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</si>
  <si>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</si>
  <si>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</si>
  <si>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</si>
  <si>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</si>
  <si>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</si>
  <si>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</si>
  <si>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</si>
  <si>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</si>
  <si>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</si>
  <si>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</si>
  <si>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</si>
  <si>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</si>
  <si>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</si>
  <si>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</si>
  <si>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</si>
  <si>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</si>
  <si>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</si>
  <si>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</si>
  <si>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</si>
  <si>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</si>
  <si>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</si>
  <si>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</si>
  <si>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</si>
  <si>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</si>
  <si>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</si>
  <si>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fragmentów od piątki i przygotowanie skrótów galowych</t>
  </si>
  <si>
    <t xml:space="preserve">autor wybiera fragment w terminie nie krótszym niż 14 dni; organizator zbiera, sprawdza format i układa kolejność</t>
  </si>
  <si>
    <t xml:space="preserve">Organizacja pełnych pokazów filmów finałowych poza galą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</si>
  <si>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</si>
  <si>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</si>
  <si>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</si>
  <si>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</si>
  <si>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</si>
  <si>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</si>
  <si>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</si>
  <si>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</si>
  <si>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</si>
  <si>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</si>
  <si>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</si>
  <si>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</si>
  <si>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Opracowanie techniczne minutowych emisji na galę (netto)</t>
  </si>
  <si>
    <t xml:space="preserve">DO WYCENY - pobranie materiału w jakości emisyjnej, zgodność formatów, napisy, montaż bloku pięciu emisji</t>
  </si>
  <si>
    <t xml:space="preserve">Pełne pokazy filmów finałowych (netto)</t>
  </si>
  <si>
    <t xml:space="preserve">DO WYCENY - sala, projekcja, obsługa; regulamin § 10 ust. 4 wymaga ogłoszenia terminu najpóźniej w dniu gali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</si>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</sst>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534876.8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255800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Gali'!$D$25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Gali'!$D$25+'Budżet Antologii'!$D$38+'Budżet Plebiscytu'!$D$32+'Budżet Plakatu'!$D$34+'Budżet Akademii'!$D$33+'Budżet Filmu'!$D$34</f>
        <v>1686506.8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3000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3000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3000</v>
      </c>
      <c r="C26" s="22" t="n">
        <v>1</v>
      </c>
      <c r="D26" s="24" t="n">
        <f aca="false">B26*C26</f>
        <v>3000</v>
      </c>
      <c r="E26" s="15"/>
      <c r="F26" s="3"/>
    </row>
    <row r="27" customFormat="false" ht="15" hidden="false" customHeight="true" outlineLevel="0" collapsed="false">
      <c r="A27" s="21" t="s">
        <v>166</v>
      </c>
      <c r="B27" s="26" t="n">
        <v>0</v>
      </c>
      <c r="C27" s="22" t="n">
        <v>1</v>
      </c>
      <c r="D27" s="24" t="n">
        <f aca="false">B27*C27</f>
        <v>0</v>
      </c>
      <c r="E27" s="15" t="s">
        <v>167</v>
      </c>
      <c r="F27" s="3"/>
      <c r="G27" s="3"/>
      <c r="H27" s="3"/>
    </row>
    <row r="28" customFormat="false" ht="15" hidden="false" customHeight="true" outlineLevel="0" collapsed="false">
      <c r="A28" s="6" t="s">
        <v>168</v>
      </c>
      <c r="B28" s="3"/>
      <c r="C28" s="3"/>
      <c r="D28" s="9" t="n">
        <f aca="false">SUM(D21:D27)</f>
        <v>52950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169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170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171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172</v>
      </c>
      <c r="B33" s="3"/>
      <c r="C33" s="3"/>
      <c r="D33" s="8" t="n">
        <f aca="false">D28</f>
        <v>52950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173</v>
      </c>
      <c r="D34" s="3" t="n">
        <f aca="false">(D32+D33)*Wyjaśnienia!$B$30</f>
        <v>14986.8</v>
      </c>
      <c r="G34" s="3"/>
      <c r="H34" s="3"/>
    </row>
    <row r="35" customFormat="false" ht="15" hidden="false" customHeight="true" outlineLevel="0" collapsed="false">
      <c r="A35" s="6" t="s">
        <v>174</v>
      </c>
      <c r="B35" s="3"/>
      <c r="C35" s="3"/>
      <c r="D35" s="9" t="n">
        <f aca="false">SUM(D31:D34)</f>
        <v>534876.8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175</v>
      </c>
      <c r="B36" s="3"/>
      <c r="C36" s="3"/>
      <c r="D36" s="8" t="n">
        <f aca="false">D35*Wyjaśnienia!$B$33</f>
        <v>123021.664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176</v>
      </c>
      <c r="B37" s="3"/>
      <c r="C37" s="3"/>
      <c r="D37" s="27" t="n">
        <f aca="false">D35+D36</f>
        <v>657898.464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177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178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179</v>
      </c>
      <c r="G7" s="3"/>
      <c r="H7" s="3"/>
    </row>
    <row r="8" customFormat="false" ht="15" hidden="false" customHeight="true" outlineLevel="0" collapsed="false">
      <c r="A8" s="21" t="s">
        <v>180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181</v>
      </c>
      <c r="G8" s="3"/>
      <c r="H8" s="3"/>
    </row>
    <row r="9" customFormat="false" ht="15" hidden="false" customHeight="true" outlineLevel="0" collapsed="false">
      <c r="A9" s="21" t="s">
        <v>182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183</v>
      </c>
      <c r="G9" s="3"/>
      <c r="H9" s="3"/>
    </row>
    <row r="10" customFormat="false" ht="15" hidden="false" customHeight="true" outlineLevel="0" collapsed="false">
      <c r="A10" s="21" t="s">
        <v>184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185</v>
      </c>
      <c r="G10" s="3"/>
      <c r="H10" s="3"/>
    </row>
    <row r="11" customFormat="false" ht="15" hidden="false" customHeight="true" outlineLevel="0" collapsed="false">
      <c r="A11" s="21" t="s">
        <v>186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187</v>
      </c>
      <c r="G11" s="3"/>
      <c r="H11" s="3"/>
    </row>
    <row r="12" customFormat="false" ht="15" hidden="false" customHeight="true" outlineLevel="0" collapsed="false">
      <c r="A12" s="21" t="s">
        <v>188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189</v>
      </c>
      <c r="G12" s="3"/>
      <c r="H12" s="3"/>
    </row>
    <row r="13" customFormat="false" ht="15" hidden="false" customHeight="true" outlineLevel="0" collapsed="false">
      <c r="A13" s="21" t="s">
        <v>190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191</v>
      </c>
      <c r="G13" s="3"/>
      <c r="H13" s="3"/>
    </row>
    <row r="14" customFormat="false" ht="15" hidden="false" customHeight="true" outlineLevel="0" collapsed="false">
      <c r="A14" s="21" t="s">
        <v>192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193</v>
      </c>
      <c r="B19" s="26" t="n">
        <v>3000</v>
      </c>
      <c r="C19" s="22" t="n">
        <v>1</v>
      </c>
      <c r="D19" s="24" t="n">
        <f aca="false">B19*C19</f>
        <v>3000</v>
      </c>
      <c r="E19" s="15" t="s">
        <v>194</v>
      </c>
      <c r="F19" s="3"/>
      <c r="G19" s="3"/>
      <c r="H19" s="3"/>
    </row>
    <row r="20" customFormat="false" ht="15" hidden="false" customHeight="true" outlineLevel="0" collapsed="false">
      <c r="A20" s="21" t="s">
        <v>195</v>
      </c>
      <c r="B20" s="26" t="n">
        <v>6000</v>
      </c>
      <c r="C20" s="22" t="n">
        <v>1</v>
      </c>
      <c r="D20" s="24" t="n">
        <f aca="false">B20*C20</f>
        <v>6000</v>
      </c>
      <c r="E20" s="15" t="s">
        <v>196</v>
      </c>
      <c r="F20" s="3" t="s">
        <v>197</v>
      </c>
      <c r="G20" s="3"/>
      <c r="H20" s="3"/>
    </row>
    <row r="21" customFormat="false" ht="15" hidden="false" customHeight="true" outlineLevel="0" collapsed="false">
      <c r="A21" s="21" t="s">
        <v>198</v>
      </c>
      <c r="B21" s="26" t="n">
        <v>10000</v>
      </c>
      <c r="C21" s="22" t="n">
        <v>1</v>
      </c>
      <c r="D21" s="24" t="n">
        <f aca="false">B21*C21</f>
        <v>10000</v>
      </c>
      <c r="E21" s="15" t="s">
        <v>199</v>
      </c>
      <c r="F21" s="3"/>
      <c r="G21" s="3"/>
      <c r="H21" s="3"/>
    </row>
    <row r="22" customFormat="false" ht="15" hidden="false" customHeight="true" outlineLevel="0" collapsed="false">
      <c r="A22" s="21" t="s">
        <v>200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201</v>
      </c>
      <c r="F22" s="3"/>
      <c r="G22" s="3"/>
      <c r="H22" s="3"/>
    </row>
    <row r="23" customFormat="false" ht="15" hidden="false" customHeight="true" outlineLevel="0" collapsed="false">
      <c r="A23" s="21" t="s">
        <v>202</v>
      </c>
      <c r="B23" s="26" t="n">
        <v>4000</v>
      </c>
      <c r="C23" s="22" t="n">
        <v>1</v>
      </c>
      <c r="D23" s="24" t="n">
        <f aca="false">B23*C23</f>
        <v>4000</v>
      </c>
      <c r="E23" s="15" t="s">
        <v>203</v>
      </c>
      <c r="F23" s="3"/>
      <c r="G23" s="3"/>
      <c r="H23" s="3"/>
    </row>
    <row r="24" customFormat="false" ht="15" hidden="false" customHeight="true" outlineLevel="0" collapsed="false">
      <c r="A24" s="21" t="s">
        <v>204</v>
      </c>
      <c r="B24" s="26" t="n">
        <v>3000</v>
      </c>
      <c r="C24" s="22" t="n">
        <v>1</v>
      </c>
      <c r="D24" s="24" t="n">
        <f aca="false">B24*C24</f>
        <v>3000</v>
      </c>
      <c r="E24" s="15" t="s">
        <v>205</v>
      </c>
      <c r="F24" s="3"/>
      <c r="G24" s="3"/>
      <c r="H24" s="3"/>
    </row>
    <row r="25" customFormat="false" ht="15" hidden="false" customHeight="true" outlineLevel="0" collapsed="false">
      <c r="A25" s="21" t="s">
        <v>206</v>
      </c>
      <c r="B25" s="26" t="n">
        <v>4000</v>
      </c>
      <c r="C25" s="22" t="n">
        <v>1</v>
      </c>
      <c r="D25" s="24" t="n">
        <f aca="false">B25*C25</f>
        <v>4000</v>
      </c>
      <c r="E25" s="15" t="s">
        <v>207</v>
      </c>
      <c r="F25" s="3"/>
      <c r="G25" s="3"/>
      <c r="H25" s="3"/>
    </row>
    <row r="26" customFormat="false" ht="15" hidden="false" customHeight="true" outlineLevel="0" collapsed="false">
      <c r="A26" s="21" t="s">
        <v>208</v>
      </c>
      <c r="B26" s="26" t="n">
        <v>0</v>
      </c>
      <c r="C26" s="22" t="n">
        <v>1</v>
      </c>
      <c r="D26" s="24" t="n">
        <f aca="false">B26*C26</f>
        <v>0</v>
      </c>
      <c r="E26" s="15" t="s">
        <v>209</v>
      </c>
      <c r="F26" s="3"/>
      <c r="G26" s="3"/>
      <c r="H26" s="3"/>
    </row>
    <row r="27" customFormat="false" ht="15" hidden="false" customHeight="true" outlineLevel="0" collapsed="false">
      <c r="A27" s="21" t="s">
        <v>210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211</v>
      </c>
      <c r="F27" s="3"/>
      <c r="G27" s="3"/>
      <c r="H27" s="3"/>
    </row>
    <row r="28" customFormat="false" ht="15" hidden="false" customHeight="true" outlineLevel="0" collapsed="false">
      <c r="A28" s="21" t="s">
        <v>212</v>
      </c>
      <c r="B28" s="26" t="n">
        <v>6000</v>
      </c>
      <c r="C28" s="22" t="n">
        <v>1</v>
      </c>
      <c r="D28" s="24" t="n">
        <f aca="false">B28*C28</f>
        <v>6000</v>
      </c>
      <c r="E28" s="15" t="s">
        <v>213</v>
      </c>
      <c r="F28" s="3"/>
      <c r="G28" s="3"/>
      <c r="H28" s="3"/>
    </row>
    <row r="29" customFormat="false" ht="15" hidden="false" customHeight="true" outlineLevel="0" collapsed="false">
      <c r="A29" s="21" t="s">
        <v>214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215</v>
      </c>
      <c r="F29" s="3"/>
      <c r="G29" s="3"/>
      <c r="H29" s="3"/>
    </row>
    <row r="30" customFormat="false" ht="15" hidden="false" customHeight="true" outlineLevel="0" collapsed="false">
      <c r="A30" s="28" t="s">
        <v>216</v>
      </c>
      <c r="B30" s="18" t="n">
        <v>4500</v>
      </c>
      <c r="C30" s="29" t="n">
        <v>1</v>
      </c>
      <c r="D30" s="8" t="n">
        <f aca="false">B30*C30</f>
        <v>4500</v>
      </c>
      <c r="F30" s="28" t="s">
        <v>217</v>
      </c>
    </row>
    <row r="31" customFormat="false" ht="15" hidden="false" customHeight="true" outlineLevel="0" collapsed="false">
      <c r="A31" s="28" t="s">
        <v>218</v>
      </c>
      <c r="B31" s="18" t="n">
        <v>0</v>
      </c>
      <c r="C31" s="29" t="n">
        <v>1</v>
      </c>
      <c r="D31" s="8" t="n">
        <f aca="false">B31*C31</f>
        <v>0</v>
      </c>
      <c r="E31" s="1" t="s">
        <v>219</v>
      </c>
      <c r="F31" s="28"/>
    </row>
    <row r="32" customFormat="false" ht="15" hidden="false" customHeight="true" outlineLevel="0" collapsed="false">
      <c r="A32" s="6" t="s">
        <v>168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169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171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172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220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174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175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176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222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223</v>
      </c>
      <c r="G7" s="3"/>
      <c r="H7" s="3"/>
    </row>
    <row r="8" customFormat="false" ht="15" hidden="false" customHeight="true" outlineLevel="0" collapsed="false">
      <c r="A8" s="21" t="s">
        <v>224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225</v>
      </c>
      <c r="G8" s="3"/>
      <c r="H8" s="3"/>
    </row>
    <row r="9" customFormat="false" ht="15" hidden="false" customHeight="true" outlineLevel="0" collapsed="false">
      <c r="A9" s="21" t="s">
        <v>226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227</v>
      </c>
      <c r="G9" s="3"/>
      <c r="H9" s="3"/>
    </row>
    <row r="10" customFormat="false" ht="15" hidden="false" customHeight="true" outlineLevel="0" collapsed="false">
      <c r="A10" s="21" t="s">
        <v>228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229</v>
      </c>
      <c r="G10" s="3"/>
      <c r="H10" s="3"/>
    </row>
    <row r="11" customFormat="false" ht="15" hidden="false" customHeight="true" outlineLevel="0" collapsed="false">
      <c r="A11" s="21" t="s">
        <v>230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231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232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233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234</v>
      </c>
      <c r="F16" s="3"/>
      <c r="G16" s="3"/>
      <c r="H16" s="3"/>
    </row>
    <row r="17" customFormat="false" ht="15" hidden="false" customHeight="true" outlineLevel="0" collapsed="false">
      <c r="A17" s="21" t="s">
        <v>235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168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169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170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171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173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174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175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176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228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232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3000</v>
      </c>
      <c r="C19" s="32" t="n">
        <v>1</v>
      </c>
      <c r="D19" s="8" t="n">
        <f aca="false">B19*C19</f>
        <v>3000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10" t="s">
        <v>168</v>
      </c>
      <c r="D27" s="11" t="n">
        <f aca="false">SUM(D18:D26)</f>
        <v>105200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Wyjaśnienia!$B$54+Wyjaśnienia!$B$55</f>
        <v>93000</v>
      </c>
    </row>
    <row r="31" customFormat="false" ht="15" hidden="false" customHeight="true" outlineLevel="0" collapsed="false">
      <c r="A31" s="3" t="s">
        <v>171</v>
      </c>
      <c r="D31" s="8" t="n">
        <f aca="false">E14</f>
        <v>41800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(D31+D32)*Wyjaśnienia!$B$63</f>
        <v>6480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35300.4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281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282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283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284</v>
      </c>
      <c r="F6" s="37" t="s">
        <v>129</v>
      </c>
    </row>
    <row r="7" customFormat="false" ht="54.75" hidden="false" customHeight="true" outlineLevel="0" collapsed="false">
      <c r="A7" s="28" t="s">
        <v>285</v>
      </c>
      <c r="B7" s="39" t="n">
        <f aca="false">Wyjaśnienia!$B$17</f>
        <v>150</v>
      </c>
      <c r="F7" s="28" t="s">
        <v>286</v>
      </c>
    </row>
    <row r="8" customFormat="false" ht="15" hidden="false" customHeight="true" outlineLevel="0" collapsed="false">
      <c r="A8" s="28" t="s">
        <v>287</v>
      </c>
      <c r="B8" s="39" t="n">
        <f aca="false">Wyjaśnienia!$B$46</f>
        <v>2</v>
      </c>
      <c r="F8" s="28" t="s">
        <v>288</v>
      </c>
    </row>
    <row r="9" customFormat="false" ht="15" hidden="false" customHeight="true" outlineLevel="0" collapsed="false">
      <c r="A9" s="37" t="s">
        <v>289</v>
      </c>
      <c r="B9" s="40" t="n">
        <f aca="false">B7*B8</f>
        <v>300</v>
      </c>
      <c r="F9" s="28" t="s">
        <v>290</v>
      </c>
    </row>
    <row r="10" customFormat="false" ht="54.75" hidden="false" customHeight="true" outlineLevel="0" collapsed="false">
      <c r="A10" s="28" t="s">
        <v>291</v>
      </c>
      <c r="B10" s="39" t="n">
        <f aca="false">Wyjaśnienia!$B$66</f>
        <v>150</v>
      </c>
      <c r="F10" s="28" t="s">
        <v>292</v>
      </c>
    </row>
    <row r="11" customFormat="false" ht="15" hidden="false" customHeight="true" outlineLevel="0" collapsed="false">
      <c r="A11" s="28" t="s">
        <v>293</v>
      </c>
      <c r="B11" s="39" t="n">
        <f aca="false">Wyjaśnienia!$B$75</f>
        <v>2</v>
      </c>
      <c r="F11" s="28" t="s">
        <v>294</v>
      </c>
    </row>
    <row r="12" customFormat="false" ht="27.75" hidden="false" customHeight="true" outlineLevel="0" collapsed="false">
      <c r="A12" s="37" t="s">
        <v>295</v>
      </c>
      <c r="B12" s="40" t="n">
        <f aca="false">B10*B11</f>
        <v>300</v>
      </c>
      <c r="F12" s="28" t="s">
        <v>296</v>
      </c>
    </row>
    <row r="14" customFormat="false" ht="15" hidden="false" customHeight="true" outlineLevel="0" collapsed="false">
      <c r="A14" s="36" t="s">
        <v>297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298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299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300</v>
      </c>
    </row>
    <row r="17" customFormat="false" ht="15" hidden="false" customHeight="true" outlineLevel="0" collapsed="false">
      <c r="A17" s="28" t="s">
        <v>301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302</v>
      </c>
    </row>
    <row r="18" customFormat="false" ht="41.25" hidden="false" customHeight="true" outlineLevel="0" collapsed="false">
      <c r="A18" s="28" t="s">
        <v>303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304</v>
      </c>
    </row>
    <row r="19" customFormat="false" ht="15" hidden="false" customHeight="true" outlineLevel="0" collapsed="false">
      <c r="A19" s="37" t="s">
        <v>305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306</v>
      </c>
      <c r="B23" s="41" t="n">
        <v>2000</v>
      </c>
      <c r="C23" s="39" t="n">
        <v>1</v>
      </c>
      <c r="D23" s="41" t="n">
        <f aca="false">B23*C23</f>
        <v>2000</v>
      </c>
      <c r="F23" s="28" t="s">
        <v>307</v>
      </c>
    </row>
    <row r="24" customFormat="false" ht="27.75" hidden="false" customHeight="true" outlineLevel="0" collapsed="false">
      <c r="A24" s="28" t="s">
        <v>308</v>
      </c>
      <c r="B24" s="41" t="n">
        <v>3000</v>
      </c>
      <c r="C24" s="39" t="n">
        <v>1</v>
      </c>
      <c r="D24" s="41" t="n">
        <f aca="false">B24*C24</f>
        <v>3000</v>
      </c>
      <c r="F24" s="28" t="s">
        <v>309</v>
      </c>
    </row>
    <row r="25" customFormat="false" ht="54.75" hidden="false" customHeight="true" outlineLevel="0" collapsed="false">
      <c r="A25" s="28" t="s">
        <v>310</v>
      </c>
      <c r="B25" s="41" t="n">
        <v>5000</v>
      </c>
      <c r="C25" s="39" t="n">
        <v>1</v>
      </c>
      <c r="D25" s="41" t="n">
        <f aca="false">B25*C25</f>
        <v>5000</v>
      </c>
      <c r="F25" s="28" t="s">
        <v>311</v>
      </c>
    </row>
    <row r="26" customFormat="false" ht="41.25" hidden="false" customHeight="true" outlineLevel="0" collapsed="false">
      <c r="A26" s="28" t="s">
        <v>312</v>
      </c>
      <c r="B26" s="41" t="n">
        <v>4000</v>
      </c>
      <c r="C26" s="39" t="n">
        <v>1</v>
      </c>
      <c r="D26" s="41" t="n">
        <f aca="false">B26*C26</f>
        <v>4000</v>
      </c>
      <c r="F26" s="28" t="s">
        <v>313</v>
      </c>
    </row>
    <row r="27" customFormat="false" ht="15" hidden="false" customHeight="true" outlineLevel="0" collapsed="false">
      <c r="A27" s="37" t="s">
        <v>168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169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314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172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315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174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175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176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316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317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318</v>
      </c>
      <c r="B39" s="38" t="s">
        <v>319</v>
      </c>
      <c r="C39" s="38" t="s">
        <v>320</v>
      </c>
      <c r="D39" s="38" t="s">
        <v>321</v>
      </c>
      <c r="E39" s="38" t="s">
        <v>322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323</v>
      </c>
      <c r="B46" s="38" t="s">
        <v>324</v>
      </c>
      <c r="C46" s="38" t="s">
        <v>325</v>
      </c>
      <c r="D46" s="38" t="s">
        <v>326</v>
      </c>
      <c r="E46" s="38" t="s">
        <v>327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328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329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330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331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332</v>
      </c>
    </row>
    <row r="8" customFormat="false" ht="15" hidden="false" customHeight="true" outlineLevel="0" collapsed="false">
      <c r="A8" s="3" t="s">
        <v>333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334</v>
      </c>
    </row>
    <row r="9" customFormat="false" ht="15" hidden="false" customHeight="true" outlineLevel="0" collapsed="false">
      <c r="A9" s="3" t="s">
        <v>335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336</v>
      </c>
    </row>
    <row r="10" customFormat="false" ht="15" hidden="false" customHeight="true" outlineLevel="0" collapsed="false">
      <c r="A10" s="3" t="s">
        <v>228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337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338</v>
      </c>
    </row>
    <row r="12" customFormat="false" ht="15" hidden="false" customHeight="true" outlineLevel="0" collapsed="false">
      <c r="A12" s="3" t="s">
        <v>339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340</v>
      </c>
    </row>
    <row r="13" customFormat="false" ht="15" hidden="false" customHeight="true" outlineLevel="0" collapsed="false">
      <c r="A13" s="3" t="s">
        <v>341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342</v>
      </c>
    </row>
    <row r="14" customFormat="false" ht="15" hidden="false" customHeight="true" outlineLevel="0" collapsed="false">
      <c r="A14" s="3" t="s">
        <v>343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344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345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346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347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3000</v>
      </c>
      <c r="C20" s="32" t="n">
        <v>1</v>
      </c>
      <c r="D20" s="8" t="n">
        <f aca="false">B20*C20</f>
        <v>3000</v>
      </c>
      <c r="E20" s="3" t="s">
        <v>348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349</v>
      </c>
    </row>
    <row r="22" customFormat="false" ht="15" hidden="false" customHeight="true" outlineLevel="0" collapsed="false">
      <c r="A22" s="3" t="s">
        <v>350</v>
      </c>
      <c r="B22" s="8" t="n">
        <v>0</v>
      </c>
      <c r="C22" s="32" t="n">
        <v>1</v>
      </c>
      <c r="D22" s="8" t="n">
        <f aca="false">B22*C22</f>
        <v>0</v>
      </c>
      <c r="E22" s="3" t="s">
        <v>351</v>
      </c>
    </row>
    <row r="23" customFormat="false" ht="15" hidden="false" customHeight="true" outlineLevel="0" collapsed="false">
      <c r="A23" s="3" t="s">
        <v>352</v>
      </c>
      <c r="B23" s="8" t="n">
        <v>0</v>
      </c>
      <c r="C23" s="32" t="n">
        <v>1</v>
      </c>
      <c r="D23" s="8" t="n">
        <f aca="false">B23*C23</f>
        <v>0</v>
      </c>
      <c r="E23" s="3" t="s">
        <v>353</v>
      </c>
    </row>
    <row r="24" customFormat="false" ht="15" hidden="false" customHeight="true" outlineLevel="0" collapsed="false">
      <c r="A24" s="3" t="s">
        <v>354</v>
      </c>
      <c r="B24" s="8" t="n">
        <v>0</v>
      </c>
      <c r="C24" s="32" t="n">
        <v>1</v>
      </c>
      <c r="D24" s="8" t="n">
        <f aca="false">B24*C24</f>
        <v>0</v>
      </c>
      <c r="E24" s="3" t="s">
        <v>355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356</v>
      </c>
    </row>
    <row r="26" customFormat="false" ht="15" hidden="false" customHeight="true" outlineLevel="0" collapsed="false">
      <c r="A26" s="3" t="s">
        <v>357</v>
      </c>
      <c r="B26" s="8" t="n">
        <v>0</v>
      </c>
      <c r="C26" s="32" t="n">
        <v>1</v>
      </c>
      <c r="D26" s="8" t="n">
        <f aca="false">B26*C26</f>
        <v>0</v>
      </c>
      <c r="E26" s="3" t="s">
        <v>358</v>
      </c>
    </row>
    <row r="27" customFormat="false" ht="15" hidden="false" customHeight="true" outlineLevel="0" collapsed="false">
      <c r="A27" s="10" t="s">
        <v>168</v>
      </c>
      <c r="B27" s="8"/>
      <c r="C27" s="32"/>
      <c r="D27" s="11" t="n">
        <f aca="false">SUM(D19:D26)</f>
        <v>184200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Wyjaśnienia!$B$67+Wyjaśnienia!$B$68</f>
        <v>183000</v>
      </c>
    </row>
    <row r="31" customFormat="false" ht="15" hidden="false" customHeight="true" outlineLevel="0" collapsed="false">
      <c r="A31" s="3" t="s">
        <v>171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255800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58834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314634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359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362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363</v>
      </c>
      <c r="B12" s="26" t="n">
        <v>8000</v>
      </c>
      <c r="C12" s="22" t="n">
        <v>1</v>
      </c>
      <c r="D12" s="24" t="n">
        <f aca="false">B12*C12</f>
        <v>8000</v>
      </c>
      <c r="E12" s="15" t="s">
        <v>364</v>
      </c>
      <c r="F12" s="3"/>
      <c r="G12" s="3"/>
      <c r="H12" s="3"/>
    </row>
    <row r="13" customFormat="false" ht="15" hidden="false" customHeight="true" outlineLevel="0" collapsed="false">
      <c r="A13" s="21" t="s">
        <v>365</v>
      </c>
      <c r="B13" s="26" t="n">
        <v>1500</v>
      </c>
      <c r="C13" s="22" t="n">
        <v>1</v>
      </c>
      <c r="D13" s="24" t="n">
        <f aca="false">B13*C13</f>
        <v>1500</v>
      </c>
      <c r="E13" s="15" t="s">
        <v>366</v>
      </c>
      <c r="F13" s="3"/>
      <c r="G13" s="3"/>
      <c r="H13" s="3"/>
    </row>
    <row r="14" customFormat="false" ht="15" hidden="false" customHeight="true" outlineLevel="0" collapsed="false">
      <c r="A14" s="21" t="s">
        <v>367</v>
      </c>
      <c r="B14" s="26" t="n">
        <v>4000</v>
      </c>
      <c r="C14" s="22" t="n">
        <v>1</v>
      </c>
      <c r="D14" s="24" t="n">
        <f aca="false">B14*C14</f>
        <v>4000</v>
      </c>
      <c r="E14" s="15" t="s">
        <v>368</v>
      </c>
      <c r="F14" s="3"/>
      <c r="G14" s="3"/>
      <c r="H14" s="3"/>
    </row>
    <row r="15" customFormat="false" ht="15" hidden="false" customHeight="true" outlineLevel="0" collapsed="false">
      <c r="A15" s="21" t="s">
        <v>369</v>
      </c>
      <c r="B15" s="26" t="n">
        <v>8000</v>
      </c>
      <c r="C15" s="22" t="n">
        <v>1</v>
      </c>
      <c r="D15" s="24" t="n">
        <f aca="false">B15*C15</f>
        <v>8000</v>
      </c>
      <c r="E15" s="15" t="s">
        <v>370</v>
      </c>
      <c r="F15" s="3"/>
      <c r="G15" s="3"/>
      <c r="H15" s="3"/>
    </row>
    <row r="16" customFormat="false" ht="15" hidden="false" customHeight="true" outlineLevel="0" collapsed="false">
      <c r="A16" s="21" t="s">
        <v>371</v>
      </c>
      <c r="B16" s="26" t="n">
        <v>0</v>
      </c>
      <c r="C16" s="22" t="n">
        <v>1</v>
      </c>
      <c r="D16" s="24" t="n">
        <f aca="false">B16*C16</f>
        <v>0</v>
      </c>
      <c r="E16" s="15" t="s">
        <v>372</v>
      </c>
    </row>
    <row r="17" customFormat="false" ht="15" hidden="false" customHeight="true" outlineLevel="0" collapsed="false">
      <c r="A17" s="21" t="s">
        <v>373</v>
      </c>
      <c r="B17" s="26" t="n">
        <v>0</v>
      </c>
      <c r="C17" s="22" t="n">
        <v>1</v>
      </c>
      <c r="D17" s="24" t="n">
        <f aca="false">B17*C17</f>
        <v>0</v>
      </c>
      <c r="E17" s="15" t="s">
        <v>374</v>
      </c>
    </row>
    <row r="18" customFormat="false" ht="15" hidden="false" customHeight="true" outlineLevel="0" collapsed="false">
      <c r="A18" s="21" t="s">
        <v>375</v>
      </c>
      <c r="B18" s="26" t="n">
        <v>0</v>
      </c>
      <c r="C18" s="22" t="n">
        <v>1</v>
      </c>
      <c r="D18" s="24" t="n">
        <f aca="false">B18*C18</f>
        <v>0</v>
      </c>
      <c r="E18" s="15" t="s">
        <v>376</v>
      </c>
    </row>
    <row r="19" customFormat="false" ht="15" hidden="false" customHeight="true" outlineLevel="0" collapsed="false">
      <c r="A19" s="6" t="s">
        <v>168</v>
      </c>
      <c r="B19" s="3"/>
      <c r="C19" s="3"/>
      <c r="D19" s="9" t="n">
        <f aca="false">SUM(D12:D18)</f>
        <v>21500</v>
      </c>
      <c r="E19" s="3"/>
      <c r="F19" s="3"/>
      <c r="G19" s="3"/>
      <c r="H19" s="3"/>
    </row>
    <row r="20" customFormat="false" ht="15" hidden="false" customHeight="true" outlineLevel="0" collapsed="false">
      <c r="A20" s="3"/>
      <c r="G20" s="3"/>
      <c r="H20" s="3"/>
    </row>
    <row r="21" customFormat="false" ht="15" hidden="false" customHeight="true" outlineLevel="0" collapsed="false">
      <c r="A21" s="5" t="s">
        <v>169</v>
      </c>
      <c r="B21" s="5"/>
      <c r="C21" s="5"/>
      <c r="D21" s="5"/>
      <c r="E21" s="5"/>
      <c r="F21" s="5"/>
      <c r="G21" s="3"/>
      <c r="H21" s="3"/>
    </row>
    <row r="22" customFormat="false" ht="15" hidden="false" customHeight="true" outlineLevel="0" collapsed="false">
      <c r="A22" s="21" t="s">
        <v>171</v>
      </c>
      <c r="D22" s="8" t="n">
        <f aca="false">E8</f>
        <v>9900</v>
      </c>
      <c r="G22" s="3"/>
      <c r="H22" s="3"/>
    </row>
    <row r="23" customFormat="false" ht="15" hidden="false" customHeight="true" outlineLevel="0" collapsed="false">
      <c r="A23" s="21" t="s">
        <v>172</v>
      </c>
      <c r="B23" s="3"/>
      <c r="C23" s="3"/>
      <c r="D23" s="8" t="n">
        <f aca="false">D19</f>
        <v>21500</v>
      </c>
      <c r="E23" s="3"/>
      <c r="F23" s="3"/>
      <c r="G23" s="3"/>
      <c r="H23" s="3"/>
    </row>
    <row r="24" customFormat="false" ht="15" hidden="false" customHeight="true" outlineLevel="0" collapsed="false">
      <c r="A24" s="21" t="s">
        <v>377</v>
      </c>
      <c r="B24" s="3"/>
      <c r="C24" s="3"/>
      <c r="D24" s="8" t="n">
        <f aca="false">(D22+D23)*Wyjaśnienia!$B$30</f>
        <v>3768</v>
      </c>
      <c r="E24" s="3"/>
      <c r="F24" s="3"/>
      <c r="G24" s="3"/>
      <c r="H24" s="3"/>
    </row>
    <row r="25" customFormat="false" ht="15" hidden="false" customHeight="true" outlineLevel="0" collapsed="false">
      <c r="A25" s="6" t="s">
        <v>174</v>
      </c>
      <c r="B25" s="3"/>
      <c r="C25" s="3"/>
      <c r="D25" s="9" t="n">
        <f aca="false">SUM(D22:D24)</f>
        <v>35168</v>
      </c>
      <c r="E25" s="3"/>
      <c r="F25" s="3"/>
      <c r="G25" s="3"/>
      <c r="H25" s="3"/>
    </row>
    <row r="26" customFormat="false" ht="15" hidden="false" customHeight="true" outlineLevel="0" collapsed="false">
      <c r="A26" s="21" t="s">
        <v>175</v>
      </c>
      <c r="B26" s="3"/>
      <c r="C26" s="3"/>
      <c r="D26" s="8" t="n">
        <f aca="false">D25*Wyjaśnienia!$B$33</f>
        <v>8088.64</v>
      </c>
      <c r="E26" s="3"/>
      <c r="F26" s="3"/>
      <c r="G26" s="3"/>
      <c r="H26" s="3"/>
    </row>
    <row r="27" customFormat="false" ht="15" hidden="false" customHeight="true" outlineLevel="0" collapsed="false">
      <c r="A27" s="6" t="s">
        <v>176</v>
      </c>
      <c r="B27" s="3"/>
      <c r="C27" s="3"/>
      <c r="D27" s="27" t="n">
        <f aca="false">D25+D26</f>
        <v>43256.64</v>
      </c>
      <c r="E27" s="3"/>
      <c r="F27" s="3"/>
      <c r="G27" s="3"/>
      <c r="H27" s="3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2026-10-27T17:19:31Z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