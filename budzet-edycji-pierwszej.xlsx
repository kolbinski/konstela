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<sst xmlns="http://schemas.openxmlformats.org/spreadsheetml/2006/main" count="395" uniqueCount="293">
  <si>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</si>
  <si>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</si>
  <si>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</si>
  <si>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</si>
  <si>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</si>
  <si>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</si>
  <si>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</si>
  <si>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</si>
  <si>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</si>
  <si>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</si>
  <si>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</si>
  <si>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</si>
  <si>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</si>
  <si>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</si>
  <si>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</si>
  <si>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</si>
  <si>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</si>
  <si>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</si>
  <si>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</si>
  <si>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</si>
  <si>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</si>
  <si>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</si>
  <si>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</si>
  <si>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</si>
  <si>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</si>
  <si>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</si>
  <si>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</si>
  <si>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</si>
  <si>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</si>
  <si>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</si>
  <si>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</si>
  <si>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</si>
  <si>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</si>
  <si>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</si>
  <si>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</si>
  <si>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</si>
  <si>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</si>
  <si>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</si>
  <si>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</si>
  <si>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</si>
  <si>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</si>
  <si>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</si>
  <si>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</si>
  <si>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</si>
  <si>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</si>
  <si>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</si>
  <si>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</si>
  <si>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</si>
  <si>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</si>
  <si>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</si>
  <si>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</si>
  <si>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</si>
  <si>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</si>
  <si>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</si>
  <si>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</si>
  <si>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</si>
  <si>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</si>
  <si>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</si>
  <si>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</si>
  <si>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</si>
  <si>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</si>
  <si>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</si>
  <si>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</si>
  <si>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</si>
  <si>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</si>
  <si>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</si>
  <si>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</si>
  <si>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</si>
  <si>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</si>
  <si>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</si>
  <si>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</si>
  <si>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</si>
  <si>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</si>
  <si>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</si>
  <si>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</si>
  <si>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</si>
  <si>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</si>
  <si>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</si>
  <si>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</si>
  <si>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</si>
  <si>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</si>
  <si>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Składu jeszcze nie ma. Przy trzech pozycja spada do 8,7 tys., przy siedmiu rośnie do 20,3 tys.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</si>
  <si>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</si>
  <si>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</si>
  <si>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</si>
  <si>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</si>
  <si>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</si>
  <si>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</si>
  <si>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</si>
  <si>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</si>
  <si>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</si>
  <si>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</si>
  <si>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</si>
  <si>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</si>
  <si>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</si>
  <si>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</si>
  <si>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</si>
  <si>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</si>
  <si>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</si>
  <si>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</si>
  <si>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</si>
  <si>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</si>
  <si>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</si>
  <si>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</si>
  <si>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</si>
  <si>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</si>
  <si>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</si>
  <si>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</si>
  <si>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</si>
  <si>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</si>
  <si>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</si>
  <si>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</si>
  <si>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</si>
  <si>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</si>
  <si>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</si>
  <si>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</si>
  <si>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</si>
  <si>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</si>
  <si>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</si>
  <si>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</si>
  <si>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</si>
  <si>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</si>
  <si>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</si>
  <si>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</si>
  <si>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</si>
  <si>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</si>
  <si>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</si>
  <si>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</si>
  <si>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</si>
  <si>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</si>
  <si>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</si>
  <si>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</si>
  <si>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</si>
  <si>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</si>
  <si>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</si>
  <si>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</si>
  <si>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</si>
  <si>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</si>
  <si>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</si>
  <si>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</si>
  <si>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</si>
  <si>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</si>
  <si>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</si>
  <si>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</si>
  <si>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</si>
  <si>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</si>
  <si>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</si>
  <si>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</si>
  <si>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</si>
  <si>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</si>
  <si>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</si>
  <si>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</si>
  <si>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</si>
  <si>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</si>
  <si>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</si>
  <si>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</si>
  <si>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</si>
  <si>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</si>
  <si>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</si>
  <si>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</si>
  <si>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</si>
  <si>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</si>
  <si>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</si>
  <si>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</si>
  <si>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</si>
  <si>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</si>
  <si>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</si>
  <si>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</si>
  <si>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</si>
  <si>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</si>
  <si>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</si>
  <si>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</si>
  <si>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</si>
  <si>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</si>
  <si>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</si>
  <si>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</si>
  <si>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</si>
  <si>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</si>
  <si>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</si>
  <si>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</si>
  <si>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</si>
  <si>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</si>
  <si>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</si>
  <si>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</si>
  <si>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</si>
  <si>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</si>
  <si>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</si>
  <si>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</si>
  <si>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</si>
  <si>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</si>
  <si>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</si>
  <si>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</si>
  <si>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</si>
  <si>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</si>
  <si>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</si>
  <si>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</si>
  <si>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</si>
  <si>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</si>
  <si>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</si>
  <si>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</si>
  <si>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</si>
  <si>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</si>
  <si>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</si>
  <si>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</si>
  <si>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</si>
  <si>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</si>
  <si>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</si>
  <si>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</si>
  <si>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</si>
  <si>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</si>
  <si>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</si>
  <si>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</si>
  <si>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</si>
  <si>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</si>
  <si>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</si>
  <si>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</si>
  <si>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</si>
  <si>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</si>
  <si>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</si>
  <si>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</si>
  <si>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</si>
  <si>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</si>
  <si>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</si>
  <si>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</si>
  <si>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</si>
  <si>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</si>
  <si>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</si>
  <si>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</si>
  <si>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</si>
  <si>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</si>
  <si>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</si>
  <si>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</si>
  <si>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</si>
  <si>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</si>
  <si>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</si>
  <si>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</si>
  <si>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</si>
  <si>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</si>
  <si>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</si>
  <si>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</si>
  <si>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</si>
  <si>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</si>
  <si>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</si>
  <si>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</si>
  <si>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</si>
  <si>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</si>
  <si>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</si>
  <si>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</si>
  <si>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</si>
  <si>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</si>
  <si>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</si>
  <si>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</si>
  <si>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</si>
  <si>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stawka Kapituły, 10 h na jurora, skład pięcioosobowy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</si>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</sst>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298142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171736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1337458.8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30</v>
      </c>
      <c r="C9" s="20" t="n">
        <v>0</v>
      </c>
      <c r="D9" s="21" t="n">
        <f aca="false">B9+C9*Wyjaśnienia!$B$15/60</f>
        <v>30</v>
      </c>
      <c r="E9" s="22" t="n">
        <f aca="false">D9*Wyjaśnienia!$B$14</f>
        <v>6600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472</v>
      </c>
      <c r="E15" s="9" t="n">
        <f aca="false">SUM(E7:E14)</f>
        <v>103840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103840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68802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298142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68572.66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366714.66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8" t="n">
        <f aca="false">Wyjaśnienia!$B$55*Wyjaśnienia!$B$54</f>
        <v>2900</v>
      </c>
      <c r="C21" s="30" t="n">
        <f aca="false">Wyjaśnienia!$B$53</f>
        <v>5</v>
      </c>
      <c r="D21" s="8" t="n">
        <f aca="false">B21*C21</f>
        <v>14500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121500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28500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8436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171736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39499.28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211235.28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2026-10-26T04:02:55Z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