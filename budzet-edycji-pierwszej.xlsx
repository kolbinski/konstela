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" sheetId="2" state="visible" r:id="rId4"/>
    <sheet name="Budżet A" sheetId="3" state="visible" r:id="rId5"/>
    <sheet name="Budżet P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<sst xmlns="http://schemas.openxmlformats.org/spreadsheetml/2006/main" count="240" uniqueCount="184">
  <si>
    <t xml:space="preserve">Budżet pierwszej edycji Nagrody Konstela</t>
  </si>
  <si>
    <t xml:space="preserve">Trzy osobne budżety, bo każdy sponsor finansuje nazwaną rzecz i dostaje osobną fakturę.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</si>
  <si>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</si>
  <si>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</si>
  <si>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</si>
  <si>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</si>
  <si>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 - Nagroda i gala</t>
  </si>
  <si>
    <t xml:space="preserve">Fundator puli nagród</t>
  </si>
  <si>
    <t xml:space="preserve">Budżet A - Antologia i archiwum</t>
  </si>
  <si>
    <t xml:space="preserve">Partner wydawniczy / sponsor organizacyjny</t>
  </si>
  <si>
    <t xml:space="preserve">Budżet P - Plebiscyt na piosenkę</t>
  </si>
  <si>
    <t xml:space="preserve">Sponsor plebiscytu</t>
  </si>
  <si>
    <t xml:space="preserve">RAZEM</t>
  </si>
  <si>
    <t xml:space="preserve">LICZBY, KTÓRE USTAWIASZ</t>
  </si>
  <si>
    <t xml:space="preserve">Zmieniasz wyłącznie żółte pola poniżej. Wszystkie trzy budżety przeliczą się same.</t>
  </si>
  <si>
    <t xml:space="preserve">Stawka godzinowa organizatora (netto)</t>
  </si>
  <si>
    <t xml:space="preserve">Podstawa wyceny Twojej pracy we wszystkich trzech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</si>
  <si>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</si>
  <si>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</si>
  <si>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</si>
  <si>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</si>
  <si>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</si>
  <si>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Dziewięć osób z dziesiątki antologii.</t>
  </si>
  <si>
    <t xml:space="preserve">Liczba wyróżnień</t>
  </si>
  <si>
    <t xml:space="preserve">Dziesiątka minus laureat.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</si>
  <si>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</si>
  <si>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</si>
  <si>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</si>
  <si>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</si>
  <si>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</si>
  <si>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</si>
  <si>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</si>
  <si>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</si>
  <si>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</si>
  <si>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</si>
  <si>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</si>
  <si>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</si>
  <si>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Statuetki i dyplomy plebiscytu (netto)</t>
  </si>
  <si>
    <t xml:space="preserve">Propozycja, do potwierdzenia.</t>
  </si>
  <si>
    <t xml:space="preserve">Rezerwa w budżecie N</t>
  </si>
  <si>
    <t xml:space="preserve">Narzut na nieprzewidziane.</t>
  </si>
  <si>
    <t xml:space="preserve">Marża w budżecie A</t>
  </si>
  <si>
    <t xml:space="preserve">Narzut partnera wydawniczego.</t>
  </si>
  <si>
    <t xml:space="preserve">Rezerwa w budżecie P</t>
  </si>
  <si>
    <t xml:space="preserve">Stawka VAT</t>
  </si>
  <si>
    <t xml:space="preserve">Dotyczy faktur wystawianych sponsorom.</t>
  </si>
  <si>
    <t xml:space="preserve">Podatek od nagród (ryczałt)</t>
  </si>
  <si>
    <t xml:space="preserve">Art. 30 ust. 1 pkt 2 PIT; potrącany przy wypłacie laureatowi.</t>
  </si>
  <si>
    <t xml:space="preserve">CZEGO JESZCZE NIE MA</t>
  </si>
  <si>
    <t xml:space="preserve">Honoraria jury plebiscytu</t>
  </si>
  <si>
    <t xml:space="preserve">stoją na zerze - czekają na wycenę Michała Sołtana</t>
  </si>
  <si>
    <t xml:space="preserve">Realizacja części artystycznej gali</t>
  </si>
  <si>
    <t xml:space="preserve">stoi na zerze - zależy od miejsca gali, które nie jest wybrane</t>
  </si>
  <si>
    <t xml:space="preserve">Po wpisaniu obu kwota budżetu P wzrośnie.</t>
  </si>
  <si>
    <t xml:space="preserve">JAK CZYTAĆ BUDŻETY</t>
  </si>
  <si>
    <t xml:space="preserve">Każda z trzech zakładek ma ten sam układ: praca organizatora, koszty twarde, podsumowanie.</t>
  </si>
  <si>
    <t xml:space="preserve">W podsumowaniu jest kwota netto, VAT i kwota brutto, którą sponsor widzi na fakturze.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</si>
  <si>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</si>
  <si>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</si>
  <si>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</si>
  <si>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</si>
  <si>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</si>
  <si>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</si>
  <si>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</si>
  <si>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</si>
  <si>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</si>
  <si>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Kapituły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</si>
  <si>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</si>
  <si>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</si>
  <si>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</si>
  <si>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</si>
  <si>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</si>
  <si>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</si>
  <si>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</si>
  <si>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</si>
  <si>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</si>
  <si>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</si>
  <si>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</si>
  <si>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</si>
  <si>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</si>
  <si>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</si>
  <si>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</si>
  <si>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</si>
  <si>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</si>
  <si>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</si>
  <si>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</si>
  <si>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</si>
  <si>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</si>
  <si>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</si>
  <si>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</si>
  <si>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</si>
  <si>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</si>
  <si>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</si>
  <si>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</si>
  <si>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</si>
  <si>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</si>
  <si>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</si>
  <si>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</si>
  <si>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Kapituły</t>
  </si>
  <si>
    <t xml:space="preserve">zwrot kosztów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</si>
  <si>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</si>
  <si>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</si>
  <si>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</si>
  <si>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</si>
  <si>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Akademii i Kapituły</t>
  </si>
  <si>
    <t xml:space="preserve">15 czytelników po 2 500 zł, 4 jurorów po 8 000 zł</t>
  </si>
  <si>
    <t xml:space="preserve">Promocja naboru</t>
  </si>
  <si>
    <t xml:space="preserve">materiały, obsługa prasowa przy starcie i rozstrzygnięciu, płatne dotarcie</t>
  </si>
  <si>
    <t xml:space="preserve">Przejazdy i noclegi finalistów na galę</t>
  </si>
  <si>
    <t xml:space="preserve">dziesięć osób, przejazd i nocleg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</si>
  <si>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</si>
  <si>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</si>
  <si>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</si>
  <si>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</si>
  <si>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</si>
  <si>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</si>
  <si>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</si>
  <si>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</si>
  <si>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</si>
  <si>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</si>
  <si>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</si>
  <si>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(pole techniczne czytane przez zakładkę Wyjaśnienia)</t>
  </si>
  <si>
    <t xml:space="preserve">Finansuje: Partner wydawniczy / sponsor organizacyjny. Kwoty netto, chyba że napisano inaczej.</t>
  </si>
  <si>
    <t xml:space="preserve">Antologia: redakcja not Kapituły i uzupełnienia</t>
  </si>
  <si>
    <t xml:space="preserve">noty pisze Kapituła (§ 8 ust. 13a)</t>
  </si>
  <si>
    <t xml:space="preserve">Skład, korekta autorska, EPUB i PDF</t>
  </si>
  <si>
    <t xml:space="preserve">szablon przygotowany w styczniu</t>
  </si>
  <si>
    <t xml:space="preserve">Archiwum: publikacja porcjami przez rok</t>
  </si>
  <si>
    <t xml:space="preserve">jedna rozmowa na dwa tygodnie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</si>
  <si>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</si>
  <si>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</si>
  <si>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</si>
  <si>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</si>
  <si>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Kapituły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</si>
  <si>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</si>
  <si>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</si>
  <si>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</si>
  <si>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</si>
  <si>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</si>
  <si>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</si>
  <si>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</si>
  <si>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</si>
  <si>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</si>
  <si>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I-III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</si>
  <si>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</si>
  <si>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</si>
  <si>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</si>
  <si>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</si>
  <si>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</si>
  <si>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Druk pierwszego nakładu antologii (100 egz.)</t>
  </si>
  <si>
    <t xml:space="preserve">z ekslibrisami podpisanymi na gali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</si>
  <si>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</si>
  <si>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</si>
  <si>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</si>
  <si>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</si>
  <si>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</si>
  <si>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</si>
  <si>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</si>
  <si>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</si>
  <si>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</si>
  <si>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</si>
  <si>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</si>
  <si>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</si>
  <si>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</si>
  <si>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</si>
  <si>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</si>
  <si>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</si>
  <si>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</si>
  <si>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</si>
  <si>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</si>
  <si>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</si>
  <si>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</si>
  <si>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</si>
  <si>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</si>
  <si>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</si>
  <si>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</si>
  <si>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</si>
  <si>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</si>
  <si>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propozycja, do potwierdzenia</t>
  </si>
  <si>
    <t xml:space="preserve">Honoraria jury plebiscytu za ocenę (netto)</t>
  </si>
  <si>
    <t xml:space="preserve">DO USTALENIA - kotwica: stawka Kapituły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</si>
  <si>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</si>
  <si>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</si>
  <si>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Koszty twarde bez nagród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</si>
</sst>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0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sz val="11"/>
      <name val="Consolas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3"/>
      <c r="C1" s="3"/>
      <c r="D1" s="4"/>
      <c r="E1" s="4"/>
      <c r="F1" s="4"/>
      <c r="G1" s="4"/>
      <c r="H1" s="4"/>
    </row>
    <row r="2" customFormat="false" ht="15" hidden="false" customHeight="true" outlineLevel="0" collapsed="false">
      <c r="A2" s="5" t="s">
        <v>1</v>
      </c>
      <c r="B2" s="3"/>
      <c r="C2" s="3"/>
      <c r="D2" s="4"/>
      <c r="E2" s="4"/>
      <c r="F2" s="4"/>
      <c r="G2" s="4"/>
      <c r="H2" s="4"/>
    </row>
    <row r="3" customFormat="false" ht="15" hidden="false" customHeight="true" outlineLevel="0" collapsed="false">
      <c r="A3" s="3"/>
      <c r="B3" s="3"/>
      <c r="C3" s="3"/>
      <c r="D3" s="4"/>
      <c r="E3" s="4"/>
      <c r="F3" s="4"/>
      <c r="G3" s="4"/>
      <c r="H3" s="4"/>
    </row>
    <row r="4" customFormat="false" ht="15" hidden="false" customHeight="true" outlineLevel="0" collapsed="false">
      <c r="A4" s="6" t="s">
        <v>2</v>
      </c>
      <c r="B4" s="3"/>
      <c r="C4" s="3"/>
      <c r="D4" s="4"/>
      <c r="E4" s="4"/>
      <c r="F4" s="4"/>
      <c r="G4" s="4"/>
      <c r="H4" s="4"/>
    </row>
    <row r="5" customFormat="false" ht="15" hidden="false" customHeight="true" outlineLevel="0" collapsed="false">
      <c r="A5" s="7" t="s">
        <v>3</v>
      </c>
      <c r="B5" s="7" t="s">
        <v>4</v>
      </c>
      <c r="C5" s="7" t="s">
        <v>5</v>
      </c>
      <c r="D5" s="4"/>
      <c r="E5" s="4"/>
      <c r="F5" s="4"/>
      <c r="G5" s="4"/>
      <c r="H5" s="4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N'!$C$100</f>
        <v>603684.8</v>
      </c>
      <c r="D6" s="4"/>
      <c r="E6" s="4"/>
      <c r="F6" s="4"/>
      <c r="G6" s="4"/>
      <c r="H6" s="4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A'!$C$100</f>
        <v>271700</v>
      </c>
      <c r="D7" s="4"/>
      <c r="E7" s="4"/>
      <c r="F7" s="4"/>
      <c r="G7" s="4"/>
      <c r="H7" s="4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P'!$C$100</f>
        <v>256616</v>
      </c>
      <c r="D8" s="4"/>
      <c r="E8" s="4"/>
      <c r="F8" s="4"/>
      <c r="G8" s="4"/>
      <c r="H8" s="4"/>
    </row>
    <row r="9" customFormat="false" ht="15" hidden="false" customHeight="true" outlineLevel="0" collapsed="false">
      <c r="A9" s="7" t="s">
        <v>12</v>
      </c>
      <c r="B9" s="3"/>
      <c r="C9" s="9" t="n">
        <f aca="false">'Budżet N'!$C$100+'Budżet A'!$C$100+'Budżet P'!$C$100</f>
        <v>1132000.8</v>
      </c>
      <c r="D9" s="4"/>
      <c r="E9" s="4"/>
      <c r="F9" s="4"/>
      <c r="G9" s="4"/>
      <c r="H9" s="4"/>
    </row>
    <row r="10" customFormat="false" ht="15" hidden="false" customHeight="true" outlineLevel="0" collapsed="false">
      <c r="A10" s="3"/>
      <c r="B10" s="3"/>
      <c r="C10" s="3"/>
      <c r="D10" s="4"/>
      <c r="E10" s="4"/>
      <c r="F10" s="4"/>
      <c r="G10" s="4"/>
      <c r="H10" s="4"/>
    </row>
    <row r="11" customFormat="false" ht="15" hidden="false" customHeight="true" outlineLevel="0" collapsed="false">
      <c r="A11" s="6" t="s">
        <v>13</v>
      </c>
      <c r="B11" s="3"/>
      <c r="C11" s="3"/>
      <c r="D11" s="4"/>
      <c r="E11" s="4"/>
      <c r="F11" s="4"/>
      <c r="G11" s="4"/>
      <c r="H11" s="4"/>
    </row>
    <row r="12" customFormat="false" ht="15" hidden="false" customHeight="true" outlineLevel="0" collapsed="false">
      <c r="A12" s="5" t="s">
        <v>14</v>
      </c>
      <c r="B12" s="3"/>
      <c r="C12" s="3"/>
      <c r="D12" s="4"/>
      <c r="E12" s="4"/>
      <c r="F12" s="4"/>
      <c r="G12" s="4"/>
      <c r="H12" s="4"/>
    </row>
    <row r="13" customFormat="false" ht="15" hidden="false" customHeight="true" outlineLevel="0" collapsed="false">
      <c r="A13" s="3" t="s">
        <v>15</v>
      </c>
      <c r="B13" s="10" t="n">
        <v>220</v>
      </c>
      <c r="C13" s="5" t="s">
        <v>16</v>
      </c>
      <c r="D13" s="4"/>
      <c r="E13" s="4"/>
      <c r="F13" s="4"/>
      <c r="G13" s="4"/>
      <c r="H13" s="4"/>
    </row>
    <row r="14" customFormat="false" ht="15" hidden="false" customHeight="true" outlineLevel="0" collapsed="false">
      <c r="A14" s="3" t="s">
        <v>17</v>
      </c>
      <c r="B14" s="10" t="n">
        <v>150</v>
      </c>
      <c r="C14" s="5" t="s">
        <v>18</v>
      </c>
      <c r="D14" s="4"/>
      <c r="E14" s="4"/>
      <c r="F14" s="4"/>
      <c r="G14" s="4"/>
      <c r="H14" s="4"/>
    </row>
    <row r="15" customFormat="false" ht="15" hidden="false" customHeight="true" outlineLevel="0" collapsed="false">
      <c r="A15" s="3" t="s">
        <v>19</v>
      </c>
      <c r="B15" s="10" t="n">
        <v>300000</v>
      </c>
      <c r="C15" s="5" t="s">
        <v>20</v>
      </c>
      <c r="D15" s="4"/>
      <c r="E15" s="4"/>
      <c r="F15" s="4"/>
      <c r="G15" s="4"/>
      <c r="H15" s="4"/>
    </row>
    <row r="16" customFormat="false" ht="15" hidden="false" customHeight="true" outlineLevel="0" collapsed="false">
      <c r="A16" s="3" t="s">
        <v>21</v>
      </c>
      <c r="B16" s="10" t="n">
        <v>10000</v>
      </c>
      <c r="C16" s="5" t="s">
        <v>22</v>
      </c>
      <c r="D16" s="4"/>
      <c r="E16" s="4"/>
      <c r="F16" s="4"/>
      <c r="G16" s="4"/>
      <c r="H16" s="4"/>
    </row>
    <row r="17" customFormat="false" ht="15" hidden="false" customHeight="true" outlineLevel="0" collapsed="false">
      <c r="A17" s="3" t="s">
        <v>23</v>
      </c>
      <c r="B17" s="10" t="n">
        <v>9</v>
      </c>
      <c r="C17" s="5" t="s">
        <v>24</v>
      </c>
      <c r="D17" s="4"/>
      <c r="E17" s="4"/>
      <c r="F17" s="4"/>
      <c r="G17" s="4"/>
      <c r="H17" s="4"/>
    </row>
    <row r="18" customFormat="false" ht="15" hidden="false" customHeight="true" outlineLevel="0" collapsed="false">
      <c r="A18" s="3" t="s">
        <v>25</v>
      </c>
      <c r="B18" s="10" t="n">
        <v>150</v>
      </c>
      <c r="C18" s="5" t="s">
        <v>26</v>
      </c>
      <c r="D18" s="4"/>
      <c r="E18" s="4"/>
      <c r="F18" s="4"/>
      <c r="G18" s="4"/>
      <c r="H18" s="4"/>
    </row>
    <row r="19" customFormat="false" ht="15" hidden="false" customHeight="true" outlineLevel="0" collapsed="false">
      <c r="A19" s="3" t="s">
        <v>27</v>
      </c>
      <c r="B19" s="10" t="n">
        <v>35000</v>
      </c>
      <c r="C19" s="5" t="s">
        <v>28</v>
      </c>
      <c r="D19" s="4"/>
      <c r="E19" s="4"/>
      <c r="F19" s="4"/>
      <c r="G19" s="4"/>
      <c r="H19" s="4"/>
    </row>
    <row r="20" customFormat="false" ht="15" hidden="false" customHeight="true" outlineLevel="0" collapsed="false">
      <c r="A20" s="3" t="s">
        <v>29</v>
      </c>
      <c r="B20" s="10" t="n">
        <v>4000</v>
      </c>
      <c r="C20" s="5" t="s">
        <v>30</v>
      </c>
      <c r="D20" s="4"/>
      <c r="E20" s="4"/>
      <c r="F20" s="4"/>
      <c r="G20" s="4"/>
      <c r="H20" s="4"/>
    </row>
    <row r="21" customFormat="false" ht="15" hidden="false" customHeight="true" outlineLevel="0" collapsed="false">
      <c r="A21" s="3" t="s">
        <v>31</v>
      </c>
      <c r="B21" s="10" t="n">
        <v>7500</v>
      </c>
      <c r="C21" s="5" t="s">
        <v>32</v>
      </c>
      <c r="D21" s="4"/>
      <c r="E21" s="4"/>
      <c r="F21" s="4"/>
      <c r="G21" s="4"/>
      <c r="H21" s="4"/>
    </row>
    <row r="22" customFormat="false" ht="15" hidden="false" customHeight="true" outlineLevel="0" collapsed="false">
      <c r="A22" s="3" t="s">
        <v>33</v>
      </c>
      <c r="B22" s="10" t="n">
        <v>10</v>
      </c>
      <c r="C22" s="5" t="s">
        <v>34</v>
      </c>
      <c r="D22" s="4"/>
      <c r="E22" s="4"/>
      <c r="F22" s="4"/>
      <c r="G22" s="4"/>
      <c r="H22" s="4"/>
    </row>
    <row r="23" customFormat="false" ht="15" hidden="false" customHeight="true" outlineLevel="0" collapsed="false">
      <c r="A23" s="3" t="s">
        <v>35</v>
      </c>
      <c r="B23" s="10" t="n">
        <v>80000</v>
      </c>
      <c r="C23" s="5" t="s">
        <v>36</v>
      </c>
      <c r="D23" s="4"/>
      <c r="E23" s="4"/>
      <c r="F23" s="4"/>
      <c r="G23" s="4"/>
      <c r="H23" s="4"/>
    </row>
    <row r="24" customFormat="false" ht="15" hidden="false" customHeight="true" outlineLevel="0" collapsed="false">
      <c r="A24" s="3" t="s">
        <v>37</v>
      </c>
      <c r="B24" s="10" t="n">
        <v>3000</v>
      </c>
      <c r="C24" s="5" t="s">
        <v>38</v>
      </c>
      <c r="D24" s="4"/>
      <c r="E24" s="4"/>
      <c r="F24" s="4"/>
      <c r="G24" s="4"/>
      <c r="H24" s="4"/>
    </row>
    <row r="25" customFormat="false" ht="15" hidden="false" customHeight="true" outlineLevel="0" collapsed="false">
      <c r="A25" s="3" t="s">
        <v>39</v>
      </c>
      <c r="B25" s="11" t="n">
        <v>0.12</v>
      </c>
      <c r="C25" s="5" t="s">
        <v>40</v>
      </c>
      <c r="D25" s="4"/>
      <c r="E25" s="4"/>
      <c r="F25" s="4"/>
      <c r="G25" s="4"/>
      <c r="H25" s="4"/>
    </row>
    <row r="26" customFormat="false" ht="15" hidden="false" customHeight="true" outlineLevel="0" collapsed="false">
      <c r="A26" s="3" t="s">
        <v>41</v>
      </c>
      <c r="B26" s="11" t="n">
        <v>0.3</v>
      </c>
      <c r="C26" s="5" t="s">
        <v>42</v>
      </c>
      <c r="D26" s="4"/>
      <c r="E26" s="4"/>
      <c r="F26" s="4"/>
      <c r="G26" s="4"/>
      <c r="H26" s="4"/>
    </row>
    <row r="27" customFormat="false" ht="15" hidden="false" customHeight="true" outlineLevel="0" collapsed="false">
      <c r="A27" s="3" t="s">
        <v>43</v>
      </c>
      <c r="B27" s="11" t="n">
        <v>0.12</v>
      </c>
      <c r="C27" s="5" t="s">
        <v>40</v>
      </c>
      <c r="D27" s="4"/>
      <c r="E27" s="4"/>
      <c r="F27" s="4"/>
      <c r="G27" s="4"/>
      <c r="H27" s="4"/>
    </row>
    <row r="28" customFormat="false" ht="15" hidden="false" customHeight="true" outlineLevel="0" collapsed="false">
      <c r="A28" s="3" t="s">
        <v>44</v>
      </c>
      <c r="B28" s="11" t="n">
        <v>0.23</v>
      </c>
      <c r="C28" s="5" t="s">
        <v>45</v>
      </c>
      <c r="D28" s="4"/>
      <c r="E28" s="4"/>
      <c r="F28" s="4"/>
      <c r="G28" s="4"/>
      <c r="H28" s="4"/>
    </row>
    <row r="29" customFormat="false" ht="15" hidden="false" customHeight="true" outlineLevel="0" collapsed="false">
      <c r="A29" s="3" t="s">
        <v>46</v>
      </c>
      <c r="B29" s="11" t="n">
        <v>0.1</v>
      </c>
      <c r="C29" s="5" t="s">
        <v>47</v>
      </c>
      <c r="D29" s="4"/>
      <c r="E29" s="4"/>
      <c r="F29" s="4"/>
      <c r="G29" s="4"/>
      <c r="H29" s="4"/>
    </row>
    <row r="30" customFormat="false" ht="15" hidden="false" customHeight="true" outlineLevel="0" collapsed="false">
      <c r="A30" s="3"/>
      <c r="B30" s="3"/>
      <c r="C30" s="3"/>
      <c r="D30" s="4"/>
      <c r="E30" s="4"/>
      <c r="F30" s="4"/>
      <c r="G30" s="4"/>
      <c r="H30" s="4"/>
    </row>
    <row r="31" customFormat="false" ht="15" hidden="false" customHeight="true" outlineLevel="0" collapsed="false">
      <c r="A31" s="6" t="s">
        <v>48</v>
      </c>
      <c r="B31" s="3"/>
      <c r="C31" s="3"/>
      <c r="D31" s="4"/>
      <c r="E31" s="4"/>
      <c r="F31" s="4"/>
      <c r="G31" s="4"/>
      <c r="H31" s="4"/>
    </row>
    <row r="32" customFormat="false" ht="15" hidden="false" customHeight="true" outlineLevel="0" collapsed="false">
      <c r="A32" s="7" t="s">
        <v>49</v>
      </c>
      <c r="B32" s="3" t="s">
        <v>50</v>
      </c>
      <c r="C32" s="3"/>
      <c r="D32" s="4"/>
      <c r="E32" s="4"/>
      <c r="F32" s="4"/>
      <c r="G32" s="4"/>
      <c r="H32" s="4"/>
    </row>
    <row r="33" customFormat="false" ht="15" hidden="false" customHeight="true" outlineLevel="0" collapsed="false">
      <c r="A33" s="7" t="s">
        <v>51</v>
      </c>
      <c r="B33" s="3" t="s">
        <v>52</v>
      </c>
      <c r="C33" s="3"/>
      <c r="D33" s="4"/>
      <c r="E33" s="4"/>
      <c r="F33" s="4"/>
      <c r="G33" s="4"/>
      <c r="H33" s="4"/>
    </row>
    <row r="34" customFormat="false" ht="15" hidden="false" customHeight="true" outlineLevel="0" collapsed="false">
      <c r="A34" s="5" t="s">
        <v>53</v>
      </c>
      <c r="B34" s="3"/>
      <c r="C34" s="3"/>
      <c r="D34" s="4"/>
      <c r="E34" s="4"/>
      <c r="F34" s="4"/>
      <c r="G34" s="4"/>
      <c r="H34" s="4"/>
    </row>
    <row r="35" customFormat="false" ht="15" hidden="false" customHeight="true" outlineLevel="0" collapsed="false">
      <c r="A35" s="3"/>
      <c r="B35" s="3"/>
      <c r="C35" s="3"/>
      <c r="D35" s="4"/>
      <c r="E35" s="4"/>
      <c r="F35" s="4"/>
      <c r="G35" s="4"/>
      <c r="H35" s="4"/>
    </row>
    <row r="36" customFormat="false" ht="15" hidden="false" customHeight="true" outlineLevel="0" collapsed="false">
      <c r="A36" s="6" t="s">
        <v>54</v>
      </c>
      <c r="B36" s="3"/>
      <c r="C36" s="3"/>
      <c r="D36" s="4"/>
      <c r="E36" s="4"/>
      <c r="F36" s="4"/>
      <c r="G36" s="4"/>
      <c r="H36" s="4"/>
    </row>
    <row r="37" customFormat="false" ht="15" hidden="false" customHeight="true" outlineLevel="0" collapsed="false">
      <c r="A37" s="5" t="s">
        <v>55</v>
      </c>
      <c r="B37" s="3"/>
      <c r="C37" s="3"/>
      <c r="D37" s="4"/>
      <c r="E37" s="4"/>
      <c r="F37" s="4"/>
      <c r="G37" s="4"/>
      <c r="H37" s="4"/>
    </row>
    <row r="38" customFormat="false" ht="15" hidden="false" customHeight="true" outlineLevel="0" collapsed="false">
      <c r="A38" s="5" t="s">
        <v>56</v>
      </c>
      <c r="B38" s="3"/>
      <c r="C38" s="3"/>
      <c r="D38" s="4"/>
      <c r="E38" s="4"/>
      <c r="F38" s="4"/>
      <c r="G38" s="4"/>
      <c r="H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</row>
    <row r="51" customFormat="false" ht="15" hidden="false" customHeight="false" outlineLevel="0" collapsed="false">
      <c r="A51" s="4"/>
      <c r="B51" s="4"/>
      <c r="C51" s="4"/>
      <c r="D51" s="4"/>
      <c r="E51" s="4"/>
      <c r="F51" s="4"/>
      <c r="G51" s="4"/>
      <c r="H51" s="4"/>
    </row>
    <row r="52" customFormat="false" ht="15" hidden="false" customHeight="false" outlineLevel="0" collapsed="false">
      <c r="A52" s="4"/>
      <c r="B52" s="4"/>
      <c r="C52" s="4"/>
      <c r="D52" s="4"/>
      <c r="E52" s="4"/>
      <c r="F52" s="4"/>
      <c r="G52" s="4"/>
      <c r="H52" s="4"/>
    </row>
    <row r="53" customFormat="false" ht="15" hidden="false" customHeight="false" outlineLevel="0" collapsed="false">
      <c r="A53" s="4"/>
      <c r="B53" s="4"/>
      <c r="C53" s="4"/>
      <c r="D53" s="4"/>
      <c r="E53" s="4"/>
      <c r="F53" s="4"/>
      <c r="G53" s="4"/>
      <c r="H53" s="4"/>
    </row>
    <row r="54" customFormat="false" ht="15" hidden="false" customHeight="false" outlineLevel="0" collapsed="false">
      <c r="A54" s="4"/>
      <c r="B54" s="4"/>
      <c r="C54" s="4"/>
      <c r="D54" s="4"/>
      <c r="E54" s="4"/>
      <c r="F54" s="4"/>
      <c r="G54" s="4"/>
      <c r="H54" s="4"/>
    </row>
    <row r="55" customFormat="false" ht="15" hidden="false" customHeight="false" outlineLevel="0" collapsed="false">
      <c r="A55" s="4"/>
      <c r="B55" s="4"/>
      <c r="C55" s="4"/>
      <c r="D55" s="4"/>
      <c r="E55" s="4"/>
      <c r="F55" s="4"/>
      <c r="G55" s="4"/>
      <c r="H55" s="4"/>
    </row>
    <row r="56" customFormat="false" ht="15" hidden="false" customHeight="false" outlineLevel="0" collapsed="false">
      <c r="A56" s="4"/>
      <c r="B56" s="4"/>
      <c r="C56" s="4"/>
      <c r="D56" s="4"/>
      <c r="E56" s="4"/>
      <c r="F56" s="4"/>
      <c r="G56" s="4"/>
      <c r="H56" s="4"/>
    </row>
    <row r="57" customFormat="false" ht="15" hidden="false" customHeight="false" outlineLevel="0" collapsed="false">
      <c r="A57" s="4"/>
      <c r="B57" s="4"/>
      <c r="C57" s="4"/>
      <c r="D57" s="4"/>
      <c r="E57" s="4"/>
      <c r="F57" s="4"/>
      <c r="G57" s="4"/>
      <c r="H57" s="4"/>
    </row>
    <row r="58" customFormat="false" ht="15" hidden="false" customHeight="false" outlineLevel="0" collapsed="false">
      <c r="A58" s="4"/>
      <c r="B58" s="4"/>
      <c r="C58" s="4"/>
      <c r="D58" s="4"/>
      <c r="E58" s="4"/>
      <c r="F58" s="4"/>
      <c r="G58" s="4"/>
      <c r="H58" s="4"/>
    </row>
    <row r="59" customFormat="false" ht="15" hidden="false" customHeight="false" outlineLevel="0" collapsed="false">
      <c r="A59" s="4"/>
      <c r="B59" s="4"/>
      <c r="C59" s="4"/>
      <c r="D59" s="4"/>
      <c r="E59" s="4"/>
      <c r="F59" s="4"/>
      <c r="G59" s="4"/>
      <c r="H59" s="4"/>
    </row>
    <row r="60" customFormat="false" ht="15" hidden="false" customHeight="false" outlineLevel="0" collapsed="false">
      <c r="A60" s="4"/>
      <c r="B60" s="4"/>
      <c r="C60" s="4"/>
      <c r="D60" s="4"/>
      <c r="E60" s="4"/>
      <c r="F60" s="4"/>
      <c r="G60" s="4"/>
      <c r="H60" s="4"/>
    </row>
    <row r="61" customFormat="false" ht="15" hidden="false" customHeight="false" outlineLevel="0" collapsed="false">
      <c r="A61" s="4"/>
      <c r="B61" s="4"/>
      <c r="C61" s="4"/>
      <c r="D61" s="4"/>
      <c r="E61" s="4"/>
      <c r="F61" s="4"/>
      <c r="G61" s="4"/>
      <c r="H61" s="4"/>
    </row>
    <row r="62" customFormat="false" ht="15" hidden="false" customHeight="false" outlineLevel="0" collapsed="false">
      <c r="A62" s="4"/>
      <c r="B62" s="4"/>
      <c r="C62" s="4"/>
      <c r="D62" s="4"/>
      <c r="E62" s="4"/>
      <c r="F62" s="4"/>
      <c r="G62" s="4"/>
      <c r="H62" s="4"/>
    </row>
    <row r="63" customFormat="false" ht="15" hidden="false" customHeight="false" outlineLevel="0" collapsed="false">
      <c r="A63" s="4"/>
      <c r="B63" s="4"/>
      <c r="C63" s="4"/>
      <c r="D63" s="4"/>
      <c r="E63" s="4"/>
      <c r="F63" s="4"/>
      <c r="G63" s="4"/>
      <c r="H63" s="4"/>
    </row>
    <row r="64" customFormat="false" ht="15" hidden="false" customHeight="false" outlineLevel="0" collapsed="false">
      <c r="A64" s="4"/>
      <c r="B64" s="4"/>
      <c r="C64" s="4"/>
      <c r="D64" s="4"/>
      <c r="E64" s="4"/>
      <c r="F64" s="4"/>
      <c r="G64" s="4"/>
      <c r="H64" s="4"/>
    </row>
    <row r="65" customFormat="false" ht="15" hidden="false" customHeight="false" outlineLevel="0" collapsed="false">
      <c r="A65" s="4"/>
      <c r="B65" s="4"/>
      <c r="C65" s="4"/>
      <c r="D65" s="4"/>
      <c r="E65" s="4"/>
      <c r="F65" s="4"/>
      <c r="G65" s="4"/>
      <c r="H65" s="4"/>
    </row>
    <row r="66" customFormat="false" ht="15" hidden="false" customHeight="false" outlineLevel="0" collapsed="false">
      <c r="A66" s="4"/>
      <c r="B66" s="4"/>
      <c r="C66" s="4"/>
      <c r="D66" s="4"/>
      <c r="E66" s="4"/>
      <c r="F66" s="4"/>
      <c r="G66" s="4"/>
      <c r="H66" s="4"/>
    </row>
    <row r="67" customFormat="false" ht="15" hidden="false" customHeight="false" outlineLevel="0" collapsed="false">
      <c r="A67" s="4"/>
      <c r="B67" s="4"/>
      <c r="C67" s="4"/>
      <c r="D67" s="4"/>
      <c r="E67" s="4"/>
      <c r="F67" s="4"/>
      <c r="G67" s="4"/>
      <c r="H67" s="4"/>
    </row>
    <row r="68" customFormat="false" ht="15" hidden="false" customHeight="false" outlineLevel="0" collapsed="false">
      <c r="A68" s="4"/>
      <c r="B68" s="4"/>
      <c r="C68" s="4"/>
      <c r="D68" s="4"/>
      <c r="E68" s="4"/>
      <c r="F68" s="4"/>
      <c r="G68" s="4"/>
      <c r="H68" s="4"/>
    </row>
    <row r="69" customFormat="false" ht="15" hidden="false" customHeight="false" outlineLevel="0" collapsed="false">
      <c r="A69" s="4"/>
      <c r="B69" s="4"/>
      <c r="C69" s="4"/>
      <c r="D69" s="4"/>
      <c r="E69" s="4"/>
      <c r="F69" s="4"/>
      <c r="G69" s="4"/>
      <c r="H69" s="4"/>
    </row>
    <row r="70" customFormat="false" ht="15" hidden="false" customHeight="false" outlineLevel="0" collapsed="false">
      <c r="A70" s="4"/>
      <c r="B70" s="4"/>
      <c r="C70" s="4"/>
      <c r="D70" s="4"/>
      <c r="E70" s="4"/>
      <c r="F70" s="4"/>
      <c r="G70" s="4"/>
      <c r="H70" s="4"/>
    </row>
    <row r="71" customFormat="false" ht="15" hidden="false" customHeight="false" outlineLevel="0" collapsed="false">
      <c r="A71" s="4"/>
      <c r="B71" s="4"/>
      <c r="C71" s="4"/>
      <c r="D71" s="4"/>
      <c r="E71" s="4"/>
      <c r="F71" s="4"/>
      <c r="G71" s="4"/>
      <c r="H71" s="4"/>
    </row>
    <row r="72" customFormat="false" ht="15" hidden="false" customHeight="false" outlineLevel="0" collapsed="false">
      <c r="A72" s="4"/>
      <c r="B72" s="4"/>
      <c r="C72" s="4"/>
      <c r="D72" s="4"/>
      <c r="E72" s="4"/>
      <c r="F72" s="4"/>
      <c r="G72" s="4"/>
      <c r="H72" s="4"/>
    </row>
    <row r="73" customFormat="false" ht="15" hidden="false" customHeight="false" outlineLevel="0" collapsed="false">
      <c r="A73" s="4"/>
      <c r="B73" s="4"/>
      <c r="C73" s="4"/>
      <c r="D73" s="4"/>
      <c r="E73" s="4"/>
      <c r="F73" s="4"/>
      <c r="G73" s="4"/>
      <c r="H73" s="4"/>
    </row>
    <row r="74" customFormat="false" ht="15" hidden="false" customHeight="false" outlineLevel="0" collapsed="false">
      <c r="A74" s="4"/>
      <c r="B74" s="4"/>
      <c r="C74" s="4"/>
      <c r="D74" s="4"/>
      <c r="E74" s="4"/>
      <c r="F74" s="4"/>
      <c r="G74" s="4"/>
      <c r="H74" s="4"/>
    </row>
    <row r="75" customFormat="false" ht="15" hidden="false" customHeight="false" outlineLevel="0" collapsed="false">
      <c r="A75" s="4"/>
      <c r="B75" s="4"/>
      <c r="C75" s="4"/>
      <c r="D75" s="4"/>
      <c r="E75" s="4"/>
      <c r="F75" s="4"/>
      <c r="G75" s="4"/>
      <c r="H75" s="4"/>
    </row>
    <row r="76" customFormat="false" ht="15" hidden="false" customHeight="false" outlineLevel="0" collapsed="false">
      <c r="A76" s="4"/>
      <c r="B76" s="4"/>
      <c r="C76" s="4"/>
      <c r="D76" s="4"/>
      <c r="E76" s="4"/>
      <c r="F76" s="4"/>
      <c r="G76" s="4"/>
      <c r="H76" s="4"/>
    </row>
    <row r="77" customFormat="false" ht="15" hidden="false" customHeight="false" outlineLevel="0" collapsed="false">
      <c r="A77" s="4"/>
      <c r="B77" s="4"/>
      <c r="C77" s="4"/>
      <c r="D77" s="4"/>
      <c r="E77" s="4"/>
      <c r="F77" s="4"/>
      <c r="G77" s="4"/>
      <c r="H77" s="4"/>
    </row>
    <row r="78" customFormat="false" ht="15" hidden="false" customHeight="false" outlineLevel="0" collapsed="false">
      <c r="A78" s="4"/>
      <c r="B78" s="4"/>
      <c r="C78" s="4"/>
      <c r="D78" s="4"/>
      <c r="E78" s="4"/>
      <c r="F78" s="4"/>
      <c r="G78" s="4"/>
      <c r="H78" s="4"/>
    </row>
    <row r="79" customFormat="false" ht="15" hidden="false" customHeight="false" outlineLevel="0" collapsed="false">
      <c r="A79" s="4"/>
      <c r="B79" s="4"/>
      <c r="C79" s="4"/>
      <c r="D79" s="4"/>
      <c r="E79" s="4"/>
      <c r="F79" s="4"/>
      <c r="G79" s="4"/>
      <c r="H79" s="4"/>
    </row>
    <row r="80" customFormat="false" ht="15" hidden="false" customHeight="false" outlineLevel="0" collapsed="false">
      <c r="A80" s="4"/>
      <c r="B80" s="4"/>
      <c r="C80" s="4"/>
      <c r="D80" s="4"/>
      <c r="E80" s="4"/>
      <c r="F80" s="4"/>
      <c r="G80" s="4"/>
      <c r="H80" s="4"/>
    </row>
    <row r="81" customFormat="false" ht="15" hidden="false" customHeight="false" outlineLevel="0" collapsed="false">
      <c r="A81" s="4"/>
      <c r="B81" s="4"/>
      <c r="C81" s="4"/>
      <c r="D81" s="4"/>
      <c r="E81" s="4"/>
      <c r="F81" s="4"/>
      <c r="G81" s="4"/>
      <c r="H81" s="4"/>
    </row>
    <row r="82" customFormat="false" ht="15" hidden="false" customHeight="false" outlineLevel="0" collapsed="false">
      <c r="A82" s="4"/>
      <c r="B82" s="4"/>
      <c r="C82" s="4"/>
      <c r="D82" s="4"/>
      <c r="E82" s="4"/>
      <c r="F82" s="4"/>
      <c r="G82" s="4"/>
      <c r="H82" s="4"/>
    </row>
    <row r="83" customFormat="false" ht="15" hidden="false" customHeight="false" outlineLevel="0" collapsed="false">
      <c r="A83" s="4"/>
      <c r="B83" s="4"/>
      <c r="C83" s="4"/>
      <c r="D83" s="4"/>
      <c r="E83" s="4"/>
      <c r="F83" s="4"/>
      <c r="G83" s="4"/>
      <c r="H83" s="4"/>
    </row>
    <row r="84" customFormat="false" ht="15" hidden="false" customHeight="false" outlineLevel="0" collapsed="false">
      <c r="A84" s="4"/>
      <c r="B84" s="4"/>
      <c r="C84" s="4"/>
      <c r="D84" s="4"/>
      <c r="E84" s="4"/>
      <c r="F84" s="4"/>
      <c r="G84" s="4"/>
      <c r="H84" s="4"/>
    </row>
    <row r="85" customFormat="false" ht="15" hidden="false" customHeight="false" outlineLevel="0" collapsed="false">
      <c r="A85" s="4"/>
      <c r="B85" s="4"/>
      <c r="C85" s="4"/>
      <c r="D85" s="4"/>
      <c r="E85" s="4"/>
      <c r="F85" s="4"/>
      <c r="G85" s="4"/>
      <c r="H85" s="4"/>
    </row>
    <row r="86" customFormat="false" ht="15" hidden="false" customHeight="false" outlineLevel="0" collapsed="false">
      <c r="A86" s="4"/>
      <c r="B86" s="4"/>
      <c r="C86" s="4"/>
      <c r="D86" s="4"/>
      <c r="E86" s="4"/>
      <c r="F86" s="4"/>
      <c r="G86" s="4"/>
      <c r="H86" s="4"/>
    </row>
    <row r="87" customFormat="false" ht="15" hidden="false" customHeight="false" outlineLevel="0" collapsed="false">
      <c r="A87" s="4"/>
      <c r="B87" s="4"/>
      <c r="C87" s="4"/>
      <c r="D87" s="4"/>
      <c r="E87" s="4"/>
      <c r="F87" s="4"/>
      <c r="G87" s="4"/>
      <c r="H87" s="4"/>
    </row>
    <row r="88" customFormat="false" ht="15" hidden="false" customHeight="false" outlineLevel="0" collapsed="false">
      <c r="A88" s="4"/>
      <c r="B88" s="4"/>
      <c r="C88" s="4"/>
      <c r="D88" s="4"/>
      <c r="E88" s="4"/>
      <c r="F88" s="4"/>
      <c r="G88" s="4"/>
      <c r="H88" s="4"/>
    </row>
    <row r="89" customFormat="false" ht="15" hidden="false" customHeight="false" outlineLevel="0" collapsed="false">
      <c r="A89" s="4"/>
      <c r="B89" s="4"/>
      <c r="C89" s="4"/>
      <c r="D89" s="4"/>
      <c r="E89" s="4"/>
      <c r="F89" s="4"/>
      <c r="G89" s="4"/>
      <c r="H89" s="4"/>
    </row>
    <row r="90" customFormat="false" ht="15" hidden="false" customHeight="false" outlineLevel="0" collapsed="false">
      <c r="A90" s="4"/>
      <c r="B90" s="4"/>
      <c r="C90" s="4"/>
      <c r="D90" s="4"/>
      <c r="E90" s="4"/>
      <c r="F90" s="4"/>
      <c r="G90" s="4"/>
      <c r="H90" s="4"/>
    </row>
    <row r="91" customFormat="false" ht="15" hidden="false" customHeight="false" outlineLevel="0" collapsed="false">
      <c r="A91" s="4"/>
      <c r="B91" s="4"/>
      <c r="C91" s="4"/>
      <c r="D91" s="4"/>
      <c r="E91" s="4"/>
      <c r="F91" s="4"/>
      <c r="G91" s="4"/>
      <c r="H91" s="4"/>
    </row>
    <row r="92" customFormat="false" ht="15" hidden="false" customHeight="false" outlineLevel="0" collapsed="false">
      <c r="A92" s="4"/>
      <c r="B92" s="4"/>
      <c r="C92" s="4"/>
      <c r="D92" s="4"/>
      <c r="E92" s="4"/>
      <c r="F92" s="4"/>
      <c r="G92" s="4"/>
      <c r="H92" s="4"/>
    </row>
    <row r="93" customFormat="false" ht="15" hidden="false" customHeight="false" outlineLevel="0" collapsed="false">
      <c r="A93" s="4"/>
      <c r="B93" s="4"/>
      <c r="C93" s="4"/>
      <c r="D93" s="4"/>
      <c r="E93" s="4"/>
      <c r="F93" s="4"/>
      <c r="G93" s="4"/>
      <c r="H93" s="4"/>
    </row>
    <row r="94" customFormat="false" ht="15" hidden="false" customHeight="false" outlineLevel="0" collapsed="false">
      <c r="A94" s="4"/>
      <c r="B94" s="4"/>
      <c r="C94" s="4"/>
      <c r="D94" s="4"/>
      <c r="E94" s="4"/>
      <c r="F94" s="4"/>
      <c r="G94" s="4"/>
      <c r="H94" s="4"/>
    </row>
    <row r="95" customFormat="false" ht="15" hidden="false" customHeight="false" outlineLevel="0" collapsed="false">
      <c r="A95" s="4"/>
      <c r="B95" s="4"/>
      <c r="C95" s="4"/>
      <c r="D95" s="4"/>
      <c r="E95" s="4"/>
      <c r="F95" s="4"/>
      <c r="G95" s="4"/>
      <c r="H95" s="4"/>
    </row>
    <row r="96" customFormat="false" ht="15" hidden="false" customHeight="false" outlineLevel="0" collapsed="false">
      <c r="A96" s="4"/>
      <c r="B96" s="4"/>
      <c r="C96" s="4"/>
      <c r="D96" s="4"/>
      <c r="E96" s="4"/>
      <c r="F96" s="4"/>
      <c r="G96" s="4"/>
      <c r="H96" s="4"/>
    </row>
    <row r="97" customFormat="false" ht="15" hidden="false" customHeight="false" outlineLevel="0" collapsed="false">
      <c r="A97" s="4"/>
      <c r="B97" s="4"/>
      <c r="C97" s="4"/>
      <c r="D97" s="4"/>
      <c r="E97" s="4"/>
      <c r="F97" s="4"/>
      <c r="G97" s="4"/>
      <c r="H97" s="4"/>
    </row>
    <row r="98" customFormat="false" ht="15" hidden="false" customHeight="false" outlineLevel="0" collapsed="false">
      <c r="A98" s="4"/>
      <c r="B98" s="4"/>
      <c r="C98" s="4"/>
      <c r="D98" s="4"/>
      <c r="E98" s="4"/>
      <c r="F98" s="4"/>
      <c r="G98" s="4"/>
      <c r="H98" s="4"/>
    </row>
    <row r="99" customFormat="false" ht="15" hidden="false" customHeight="false" outlineLevel="0" collapsed="false">
      <c r="A99" s="4"/>
      <c r="B99" s="4"/>
      <c r="C99" s="4"/>
      <c r="D99" s="4"/>
      <c r="E99" s="4"/>
      <c r="F99" s="4"/>
      <c r="G99" s="4"/>
      <c r="H99" s="4"/>
    </row>
    <row r="100" customFormat="false" ht="15" hidden="false" customHeight="false" outlineLevel="0" collapsed="false">
      <c r="A100" s="4"/>
      <c r="B100" s="4"/>
      <c r="C100" s="4"/>
      <c r="D100" s="4"/>
      <c r="E100" s="4"/>
      <c r="F100" s="4"/>
      <c r="G100" s="4"/>
      <c r="H100" s="4"/>
    </row>
    <row r="101" customFormat="false" ht="15" hidden="false" customHeight="false" outlineLevel="0" collapsed="false">
      <c r="A101" s="4"/>
      <c r="B101" s="4"/>
      <c r="C101" s="4"/>
      <c r="D101" s="4"/>
      <c r="E101" s="4"/>
      <c r="F101" s="4"/>
      <c r="G101" s="4"/>
      <c r="H101" s="4"/>
    </row>
    <row r="102" customFormat="false" ht="15" hidden="false" customHeight="false" outlineLevel="0" collapsed="false">
      <c r="A102" s="4"/>
      <c r="B102" s="4"/>
      <c r="C102" s="4"/>
      <c r="D102" s="4"/>
      <c r="E102" s="4"/>
      <c r="F102" s="4"/>
      <c r="G102" s="4"/>
      <c r="H102" s="4"/>
    </row>
    <row r="103" customFormat="false" ht="15" hidden="false" customHeight="false" outlineLevel="0" collapsed="false">
      <c r="A103" s="4"/>
      <c r="B103" s="4"/>
      <c r="C103" s="4"/>
      <c r="D103" s="4"/>
      <c r="E103" s="4"/>
      <c r="F103" s="4"/>
      <c r="G103" s="4"/>
      <c r="H103" s="4"/>
    </row>
    <row r="104" customFormat="false" ht="15" hidden="false" customHeight="false" outlineLevel="0" collapsed="false">
      <c r="A104" s="4"/>
      <c r="B104" s="4"/>
      <c r="C104" s="4"/>
      <c r="D104" s="4"/>
      <c r="E104" s="4"/>
      <c r="F104" s="4"/>
      <c r="G104" s="4"/>
      <c r="H104" s="4"/>
    </row>
    <row r="105" customFormat="false" ht="15" hidden="false" customHeight="false" outlineLevel="0" collapsed="false">
      <c r="A105" s="4"/>
      <c r="B105" s="4"/>
      <c r="C105" s="4"/>
      <c r="D105" s="4"/>
      <c r="E105" s="4"/>
      <c r="F105" s="4"/>
      <c r="G105" s="4"/>
      <c r="H105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4"/>
      <c r="C1" s="4"/>
      <c r="D1" s="4"/>
      <c r="E1" s="4"/>
      <c r="F1" s="4"/>
      <c r="G1" s="4"/>
      <c r="H1" s="4"/>
    </row>
    <row r="2" customFormat="false" ht="15" hidden="false" customHeight="true" outlineLevel="0" collapsed="false">
      <c r="A2" s="5" t="s">
        <v>57</v>
      </c>
      <c r="B2" s="4"/>
      <c r="C2" s="4"/>
      <c r="D2" s="4"/>
      <c r="E2" s="4"/>
      <c r="F2" s="4"/>
      <c r="G2" s="4"/>
      <c r="H2" s="4"/>
    </row>
    <row r="3" customFormat="false" ht="15" hidden="false" customHeight="true" outlineLevel="0" collapsed="false">
      <c r="A3" s="5" t="s">
        <v>58</v>
      </c>
      <c r="B3" s="4"/>
      <c r="C3" s="4"/>
      <c r="D3" s="4"/>
      <c r="E3" s="4"/>
      <c r="F3" s="4"/>
      <c r="G3" s="4"/>
      <c r="H3" s="4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</row>
    <row r="5" customFormat="false" ht="15" hidden="false" customHeight="true" outlineLevel="0" collapsed="false">
      <c r="A5" s="6" t="s">
        <v>59</v>
      </c>
      <c r="B5" s="4"/>
      <c r="C5" s="4"/>
      <c r="D5" s="4"/>
      <c r="E5" s="4"/>
      <c r="F5" s="4"/>
      <c r="G5" s="4"/>
      <c r="H5" s="4"/>
    </row>
    <row r="6" customFormat="false" ht="15" hidden="false" customHeight="true" outlineLevel="0" collapsed="false">
      <c r="A6" s="7" t="s">
        <v>60</v>
      </c>
      <c r="B6" s="7" t="s">
        <v>61</v>
      </c>
      <c r="C6" s="7" t="s">
        <v>62</v>
      </c>
      <c r="D6" s="7" t="s">
        <v>63</v>
      </c>
      <c r="E6" s="7" t="s">
        <v>64</v>
      </c>
      <c r="F6" s="7" t="s">
        <v>65</v>
      </c>
      <c r="G6" s="4"/>
      <c r="H6" s="4"/>
    </row>
    <row r="7" customFormat="false" ht="15" hidden="false" customHeight="true" outlineLevel="0" collapsed="false">
      <c r="A7" s="12" t="s">
        <v>66</v>
      </c>
      <c r="B7" s="13" t="n">
        <v>60</v>
      </c>
      <c r="C7" s="13" t="n">
        <v>0</v>
      </c>
      <c r="D7" s="14" t="n">
        <f aca="false">B7+C7*Wyjaśnienia!$B$14/60</f>
        <v>60</v>
      </c>
      <c r="E7" s="15" t="n">
        <f aca="false">D7*Wyjaśnienia!$B$13</f>
        <v>13200</v>
      </c>
      <c r="F7" s="5" t="s">
        <v>67</v>
      </c>
      <c r="G7" s="4"/>
      <c r="H7" s="4"/>
    </row>
    <row r="8" customFormat="false" ht="15" hidden="false" customHeight="true" outlineLevel="0" collapsed="false">
      <c r="A8" s="12" t="s">
        <v>68</v>
      </c>
      <c r="B8" s="13" t="n">
        <v>24</v>
      </c>
      <c r="C8" s="13" t="n">
        <v>0</v>
      </c>
      <c r="D8" s="14" t="n">
        <f aca="false">B8+C8*Wyjaśnienia!$B$14/60</f>
        <v>24</v>
      </c>
      <c r="E8" s="15" t="n">
        <f aca="false">D8*Wyjaśnienia!$B$13</f>
        <v>5280</v>
      </c>
      <c r="F8" s="5" t="s">
        <v>69</v>
      </c>
      <c r="G8" s="4"/>
      <c r="H8" s="4"/>
    </row>
    <row r="9" customFormat="false" ht="15" hidden="false" customHeight="true" outlineLevel="0" collapsed="false">
      <c r="A9" s="12" t="s">
        <v>70</v>
      </c>
      <c r="B9" s="13" t="n">
        <v>50</v>
      </c>
      <c r="C9" s="13" t="n">
        <v>0</v>
      </c>
      <c r="D9" s="14" t="n">
        <f aca="false">B9+C9*Wyjaśnienia!$B$14/60</f>
        <v>50</v>
      </c>
      <c r="E9" s="15" t="n">
        <f aca="false">D9*Wyjaśnienia!$B$13</f>
        <v>11000</v>
      </c>
      <c r="F9" s="5" t="s">
        <v>71</v>
      </c>
      <c r="G9" s="4"/>
      <c r="H9" s="4"/>
    </row>
    <row r="10" customFormat="false" ht="15" hidden="false" customHeight="true" outlineLevel="0" collapsed="false">
      <c r="A10" s="12" t="s">
        <v>72</v>
      </c>
      <c r="B10" s="13" t="n">
        <v>8</v>
      </c>
      <c r="C10" s="13" t="n">
        <v>6</v>
      </c>
      <c r="D10" s="14" t="n">
        <f aca="false">B10+C10*Wyjaśnienia!$B$14/60</f>
        <v>23</v>
      </c>
      <c r="E10" s="15" t="n">
        <f aca="false">D10*Wyjaśnienia!$B$13</f>
        <v>5060</v>
      </c>
      <c r="F10" s="5" t="s">
        <v>73</v>
      </c>
      <c r="G10" s="4"/>
      <c r="H10" s="4"/>
    </row>
    <row r="11" customFormat="false" ht="15" hidden="false" customHeight="true" outlineLevel="0" collapsed="false">
      <c r="A11" s="12" t="s">
        <v>74</v>
      </c>
      <c r="B11" s="13" t="n">
        <v>10</v>
      </c>
      <c r="C11" s="13" t="n">
        <v>4</v>
      </c>
      <c r="D11" s="14" t="n">
        <f aca="false">B11+C11*Wyjaśnienia!$B$14/60</f>
        <v>20</v>
      </c>
      <c r="E11" s="15" t="n">
        <f aca="false">D11*Wyjaśnienia!$B$13</f>
        <v>4400</v>
      </c>
      <c r="F11" s="5" t="s">
        <v>75</v>
      </c>
      <c r="G11" s="4"/>
      <c r="H11" s="4"/>
    </row>
    <row r="12" customFormat="false" ht="15" hidden="false" customHeight="true" outlineLevel="0" collapsed="false">
      <c r="A12" s="12" t="s">
        <v>76</v>
      </c>
      <c r="B12" s="13" t="n">
        <v>20</v>
      </c>
      <c r="C12" s="13" t="n">
        <v>0</v>
      </c>
      <c r="D12" s="14" t="n">
        <f aca="false">B12+C12*Wyjaśnienia!$B$14/60</f>
        <v>20</v>
      </c>
      <c r="E12" s="15" t="n">
        <f aca="false">D12*Wyjaśnienia!$B$13</f>
        <v>4400</v>
      </c>
      <c r="F12" s="5" t="s">
        <v>77</v>
      </c>
      <c r="G12" s="4"/>
      <c r="H12" s="4"/>
    </row>
    <row r="13" customFormat="false" ht="15" hidden="false" customHeight="true" outlineLevel="0" collapsed="false">
      <c r="A13" s="12" t="s">
        <v>78</v>
      </c>
      <c r="B13" s="13" t="n">
        <v>40</v>
      </c>
      <c r="C13" s="13" t="n">
        <v>0</v>
      </c>
      <c r="D13" s="14" t="n">
        <f aca="false">B13+C13*Wyjaśnienia!$B$14/60</f>
        <v>40</v>
      </c>
      <c r="E13" s="15" t="n">
        <f aca="false">D13*Wyjaśnienia!$B$13</f>
        <v>8800</v>
      </c>
      <c r="F13" s="5" t="s">
        <v>79</v>
      </c>
      <c r="G13" s="4"/>
      <c r="H13" s="4"/>
    </row>
    <row r="14" customFormat="false" ht="15" hidden="false" customHeight="true" outlineLevel="0" collapsed="false">
      <c r="A14" s="12" t="s">
        <v>80</v>
      </c>
      <c r="B14" s="13" t="n">
        <v>25</v>
      </c>
      <c r="C14" s="13" t="n">
        <v>0</v>
      </c>
      <c r="D14" s="14" t="n">
        <f aca="false">B14+C14*Wyjaśnienia!$B$14/60</f>
        <v>25</v>
      </c>
      <c r="E14" s="15" t="n">
        <f aca="false">D14*Wyjaśnienia!$B$13</f>
        <v>5500</v>
      </c>
      <c r="F14" s="5" t="s">
        <v>81</v>
      </c>
      <c r="G14" s="4"/>
      <c r="H14" s="4"/>
    </row>
    <row r="15" customFormat="false" ht="15" hidden="false" customHeight="true" outlineLevel="0" collapsed="false">
      <c r="A15" s="12" t="s">
        <v>82</v>
      </c>
      <c r="B15" s="13" t="n">
        <v>45</v>
      </c>
      <c r="C15" s="13" t="n">
        <v>0</v>
      </c>
      <c r="D15" s="14" t="n">
        <f aca="false">B15+C15*Wyjaśnienia!$B$14/60</f>
        <v>45</v>
      </c>
      <c r="E15" s="15" t="n">
        <f aca="false">D15*Wyjaśnienia!$B$13</f>
        <v>9900</v>
      </c>
      <c r="F15" s="5" t="s">
        <v>83</v>
      </c>
      <c r="G15" s="4"/>
      <c r="H15" s="4"/>
    </row>
    <row r="16" customFormat="false" ht="15" hidden="false" customHeight="true" outlineLevel="0" collapsed="false">
      <c r="A16" s="12" t="s">
        <v>84</v>
      </c>
      <c r="B16" s="13" t="n">
        <v>25</v>
      </c>
      <c r="C16" s="13" t="n">
        <v>0</v>
      </c>
      <c r="D16" s="14" t="n">
        <f aca="false">B16+C16*Wyjaśnienia!$B$14/60</f>
        <v>25</v>
      </c>
      <c r="E16" s="15" t="n">
        <f aca="false">D16*Wyjaśnienia!$B$13</f>
        <v>5500</v>
      </c>
      <c r="F16" s="5" t="s">
        <v>85</v>
      </c>
      <c r="G16" s="4"/>
      <c r="H16" s="4"/>
    </row>
    <row r="17" customFormat="false" ht="15" hidden="false" customHeight="true" outlineLevel="0" collapsed="false">
      <c r="A17" s="12" t="s">
        <v>86</v>
      </c>
      <c r="B17" s="13" t="n">
        <v>40</v>
      </c>
      <c r="C17" s="13" t="n">
        <v>0</v>
      </c>
      <c r="D17" s="14" t="n">
        <f aca="false">B17+C17*Wyjaśnienia!$B$14/60</f>
        <v>40</v>
      </c>
      <c r="E17" s="15" t="n">
        <f aca="false">D17*Wyjaśnienia!$B$13</f>
        <v>8800</v>
      </c>
      <c r="F17" s="5" t="s">
        <v>87</v>
      </c>
      <c r="G17" s="4"/>
      <c r="H17" s="4"/>
    </row>
    <row r="18" customFormat="false" ht="15" hidden="false" customHeight="true" outlineLevel="0" collapsed="false">
      <c r="A18" s="7" t="s">
        <v>88</v>
      </c>
      <c r="B18" s="4"/>
      <c r="C18" s="4"/>
      <c r="D18" s="16" t="n">
        <f aca="false">SUM(D7:D17)</f>
        <v>372</v>
      </c>
      <c r="E18" s="9" t="n">
        <f aca="false">SUM(E7:E17)</f>
        <v>81840</v>
      </c>
      <c r="F18" s="4"/>
      <c r="G18" s="4"/>
      <c r="H18" s="4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</row>
    <row r="20" customFormat="false" ht="15" hidden="false" customHeight="true" outlineLevel="0" collapsed="false">
      <c r="A20" s="6" t="s">
        <v>89</v>
      </c>
      <c r="B20" s="4"/>
      <c r="C20" s="4"/>
      <c r="D20" s="4"/>
      <c r="E20" s="4"/>
      <c r="F20" s="4"/>
      <c r="G20" s="4"/>
      <c r="H20" s="4"/>
    </row>
    <row r="21" customFormat="false" ht="15" hidden="false" customHeight="true" outlineLevel="0" collapsed="false">
      <c r="A21" s="7" t="s">
        <v>60</v>
      </c>
      <c r="B21" s="7" t="s">
        <v>90</v>
      </c>
      <c r="C21" s="7" t="s">
        <v>91</v>
      </c>
      <c r="D21" s="7" t="s">
        <v>64</v>
      </c>
      <c r="E21" s="7" t="s">
        <v>65</v>
      </c>
      <c r="F21" s="4"/>
      <c r="G21" s="4"/>
      <c r="H21" s="4"/>
    </row>
    <row r="22" customFormat="false" ht="15" hidden="false" customHeight="true" outlineLevel="0" collapsed="false">
      <c r="A22" s="12" t="s">
        <v>92</v>
      </c>
      <c r="B22" s="17" t="n">
        <v>8000</v>
      </c>
      <c r="C22" s="13" t="n">
        <v>1</v>
      </c>
      <c r="D22" s="15" t="n">
        <f aca="false">B22*C22</f>
        <v>8000</v>
      </c>
      <c r="E22" s="5" t="s">
        <v>93</v>
      </c>
      <c r="F22" s="4"/>
      <c r="G22" s="4"/>
      <c r="H22" s="4"/>
    </row>
    <row r="23" customFormat="false" ht="15" hidden="false" customHeight="true" outlineLevel="0" collapsed="false">
      <c r="A23" s="12" t="s">
        <v>94</v>
      </c>
      <c r="B23" s="17" t="n">
        <v>1500</v>
      </c>
      <c r="C23" s="13" t="n">
        <v>1</v>
      </c>
      <c r="D23" s="15" t="n">
        <f aca="false">B23*C23</f>
        <v>1500</v>
      </c>
      <c r="E23" s="5" t="s">
        <v>95</v>
      </c>
      <c r="F23" s="4"/>
      <c r="G23" s="4"/>
      <c r="H23" s="4"/>
    </row>
    <row r="24" customFormat="false" ht="15" hidden="false" customHeight="true" outlineLevel="0" collapsed="false">
      <c r="A24" s="12" t="s">
        <v>96</v>
      </c>
      <c r="B24" s="17" t="n">
        <v>1200</v>
      </c>
      <c r="C24" s="13" t="n">
        <v>1</v>
      </c>
      <c r="D24" s="15" t="n">
        <f aca="false">B24*C24</f>
        <v>1200</v>
      </c>
      <c r="E24" s="5" t="s">
        <v>97</v>
      </c>
      <c r="F24" s="4"/>
      <c r="G24" s="4"/>
      <c r="H24" s="4"/>
    </row>
    <row r="25" customFormat="false" ht="15" hidden="false" customHeight="true" outlineLevel="0" collapsed="false">
      <c r="A25" s="12" t="s">
        <v>98</v>
      </c>
      <c r="B25" s="17" t="n">
        <v>4000</v>
      </c>
      <c r="C25" s="13" t="n">
        <v>1</v>
      </c>
      <c r="D25" s="15" t="n">
        <f aca="false">B25*C25</f>
        <v>4000</v>
      </c>
      <c r="E25" s="5" t="s">
        <v>99</v>
      </c>
      <c r="F25" s="4"/>
      <c r="G25" s="4"/>
      <c r="H25" s="4"/>
    </row>
    <row r="26" customFormat="false" ht="15" hidden="false" customHeight="true" outlineLevel="0" collapsed="false">
      <c r="A26" s="12" t="s">
        <v>100</v>
      </c>
      <c r="B26" s="17" t="n">
        <v>1500</v>
      </c>
      <c r="C26" s="13" t="n">
        <v>1</v>
      </c>
      <c r="D26" s="15" t="n">
        <f aca="false">B26*C26</f>
        <v>1500</v>
      </c>
      <c r="E26" s="5" t="s">
        <v>101</v>
      </c>
      <c r="F26" s="4"/>
      <c r="G26" s="4"/>
      <c r="H26" s="4"/>
    </row>
    <row r="27" customFormat="false" ht="15" hidden="false" customHeight="true" outlineLevel="0" collapsed="false">
      <c r="A27" s="12" t="s">
        <v>102</v>
      </c>
      <c r="B27" s="17" t="n">
        <v>250</v>
      </c>
      <c r="C27" s="13" t="n">
        <v>1</v>
      </c>
      <c r="D27" s="15" t="n">
        <f aca="false">B27*C27</f>
        <v>250</v>
      </c>
      <c r="E27" s="5" t="s">
        <v>103</v>
      </c>
      <c r="F27" s="4"/>
      <c r="G27" s="4"/>
      <c r="H27" s="4"/>
    </row>
    <row r="28" customFormat="false" ht="15" hidden="false" customHeight="true" outlineLevel="0" collapsed="false">
      <c r="A28" s="12" t="s">
        <v>104</v>
      </c>
      <c r="B28" s="17" t="n">
        <v>69500</v>
      </c>
      <c r="C28" s="13" t="n">
        <v>1</v>
      </c>
      <c r="D28" s="15" t="n">
        <f aca="false">B28*C28</f>
        <v>69500</v>
      </c>
      <c r="E28" s="5" t="s">
        <v>105</v>
      </c>
      <c r="F28" s="4"/>
      <c r="G28" s="4"/>
      <c r="H28" s="4"/>
    </row>
    <row r="29" customFormat="false" ht="15" hidden="false" customHeight="true" outlineLevel="0" collapsed="false">
      <c r="A29" s="12" t="s">
        <v>106</v>
      </c>
      <c r="B29" s="17" t="n">
        <v>15000</v>
      </c>
      <c r="C29" s="13" t="n">
        <v>1</v>
      </c>
      <c r="D29" s="15" t="n">
        <f aca="false">B29*C29</f>
        <v>15000</v>
      </c>
      <c r="E29" s="5" t="s">
        <v>107</v>
      </c>
      <c r="F29" s="4"/>
      <c r="G29" s="4"/>
      <c r="H29" s="4"/>
    </row>
    <row r="30" customFormat="false" ht="15" hidden="false" customHeight="true" outlineLevel="0" collapsed="false">
      <c r="A30" s="12" t="s">
        <v>108</v>
      </c>
      <c r="B30" s="17" t="n">
        <v>8000</v>
      </c>
      <c r="C30" s="13" t="n">
        <v>1</v>
      </c>
      <c r="D30" s="15" t="n">
        <f aca="false">B30*C30</f>
        <v>8000</v>
      </c>
      <c r="E30" s="5" t="s">
        <v>109</v>
      </c>
      <c r="F30" s="4"/>
      <c r="G30" s="4"/>
      <c r="H30" s="4"/>
    </row>
    <row r="31" customFormat="false" ht="15" hidden="false" customHeight="true" outlineLevel="0" collapsed="false">
      <c r="A31" s="12" t="s">
        <v>110</v>
      </c>
      <c r="B31" s="17" t="n">
        <v>0</v>
      </c>
      <c r="C31" s="13" t="n">
        <v>1</v>
      </c>
      <c r="D31" s="15" t="n">
        <f aca="false">B31*C31</f>
        <v>0</v>
      </c>
      <c r="E31" s="5" t="s">
        <v>111</v>
      </c>
      <c r="F31" s="4"/>
      <c r="G31" s="4"/>
      <c r="H31" s="4"/>
    </row>
    <row r="32" customFormat="false" ht="15" hidden="false" customHeight="true" outlineLevel="0" collapsed="false">
      <c r="A32" s="7" t="s">
        <v>112</v>
      </c>
      <c r="B32" s="4"/>
      <c r="C32" s="4"/>
      <c r="D32" s="9" t="n">
        <f aca="false">SUM(D22:D31)</f>
        <v>108950</v>
      </c>
      <c r="E32" s="4"/>
      <c r="F32" s="4"/>
      <c r="G32" s="4"/>
      <c r="H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</row>
    <row r="34" customFormat="false" ht="15" hidden="false" customHeight="true" outlineLevel="0" collapsed="false">
      <c r="A34" s="6" t="s">
        <v>113</v>
      </c>
      <c r="B34" s="4"/>
      <c r="C34" s="4"/>
      <c r="D34" s="4"/>
      <c r="E34" s="4"/>
      <c r="F34" s="4"/>
      <c r="G34" s="4"/>
      <c r="H34" s="4"/>
    </row>
    <row r="35" customFormat="false" ht="15" hidden="false" customHeight="true" outlineLevel="0" collapsed="false">
      <c r="A35" s="12" t="s">
        <v>114</v>
      </c>
      <c r="B35" s="4"/>
      <c r="C35" s="4"/>
      <c r="D35" s="15" t="n">
        <f aca="false">Wyjaśnienia!$B$15+Wyjaśnienia!$B$16*Wyjaśnienia!$B$17</f>
        <v>390000</v>
      </c>
      <c r="E35" s="4"/>
      <c r="F35" s="4"/>
      <c r="G35" s="4"/>
      <c r="H35" s="4"/>
    </row>
    <row r="36" customFormat="false" ht="15" hidden="false" customHeight="true" outlineLevel="0" collapsed="false">
      <c r="A36" s="12" t="s">
        <v>115</v>
      </c>
      <c r="B36" s="4"/>
      <c r="C36" s="4"/>
      <c r="D36" s="8" t="n">
        <f aca="false">E18</f>
        <v>81840</v>
      </c>
      <c r="E36" s="4"/>
      <c r="F36" s="4"/>
      <c r="G36" s="4"/>
      <c r="H36" s="4"/>
    </row>
    <row r="37" customFormat="false" ht="15" hidden="false" customHeight="true" outlineLevel="0" collapsed="false">
      <c r="A37" s="12" t="s">
        <v>116</v>
      </c>
      <c r="B37" s="4"/>
      <c r="C37" s="4"/>
      <c r="D37" s="8" t="n">
        <f aca="false">D32</f>
        <v>108950</v>
      </c>
      <c r="E37" s="4"/>
      <c r="F37" s="4"/>
      <c r="G37" s="4"/>
      <c r="H37" s="4"/>
    </row>
    <row r="38" customFormat="false" ht="15" hidden="false" customHeight="true" outlineLevel="0" collapsed="false">
      <c r="A38" s="12" t="s">
        <v>117</v>
      </c>
      <c r="B38" s="4"/>
      <c r="C38" s="4"/>
      <c r="D38" s="8" t="n">
        <f aca="false">(D36+D37)*Wyjaśnienia!$B$25</f>
        <v>22894.8</v>
      </c>
      <c r="E38" s="4"/>
      <c r="F38" s="4"/>
      <c r="G38" s="4"/>
      <c r="H38" s="4"/>
    </row>
    <row r="39" customFormat="false" ht="15" hidden="false" customHeight="true" outlineLevel="0" collapsed="false">
      <c r="A39" s="7" t="s">
        <v>118</v>
      </c>
      <c r="B39" s="4"/>
      <c r="C39" s="4"/>
      <c r="D39" s="9" t="n">
        <f aca="false">SUM(D35:D38)</f>
        <v>603684.8</v>
      </c>
      <c r="E39" s="4"/>
      <c r="F39" s="4"/>
      <c r="G39" s="4"/>
      <c r="H39" s="4"/>
    </row>
    <row r="40" customFormat="false" ht="15" hidden="false" customHeight="true" outlineLevel="0" collapsed="false">
      <c r="A40" s="12" t="s">
        <v>119</v>
      </c>
      <c r="B40" s="4"/>
      <c r="C40" s="4"/>
      <c r="D40" s="8" t="n">
        <f aca="false">D39*Wyjaśnienia!$B$28</f>
        <v>138847.504</v>
      </c>
      <c r="E40" s="4"/>
      <c r="F40" s="4"/>
      <c r="G40" s="4"/>
      <c r="H40" s="4"/>
    </row>
    <row r="41" customFormat="false" ht="15" hidden="false" customHeight="true" outlineLevel="0" collapsed="false">
      <c r="A41" s="7" t="s">
        <v>120</v>
      </c>
      <c r="B41" s="4"/>
      <c r="C41" s="4"/>
      <c r="D41" s="18" t="n">
        <f aca="false">D39+D40</f>
        <v>742532.304</v>
      </c>
      <c r="E41" s="4"/>
      <c r="F41" s="4"/>
      <c r="G41" s="4"/>
      <c r="H41" s="4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</row>
    <row r="51" customFormat="false" ht="15" hidden="false" customHeight="false" outlineLevel="0" collapsed="false">
      <c r="A51" s="4"/>
      <c r="B51" s="4"/>
      <c r="C51" s="4"/>
      <c r="D51" s="4"/>
      <c r="E51" s="4"/>
      <c r="F51" s="4"/>
      <c r="G51" s="4"/>
      <c r="H51" s="4"/>
    </row>
    <row r="52" customFormat="false" ht="15" hidden="false" customHeight="false" outlineLevel="0" collapsed="false">
      <c r="A52" s="4"/>
      <c r="B52" s="4"/>
      <c r="C52" s="4"/>
      <c r="D52" s="4"/>
      <c r="E52" s="4"/>
      <c r="F52" s="4"/>
      <c r="G52" s="4"/>
      <c r="H52" s="4"/>
    </row>
    <row r="53" customFormat="false" ht="15" hidden="false" customHeight="false" outlineLevel="0" collapsed="false">
      <c r="A53" s="4"/>
      <c r="B53" s="4"/>
      <c r="C53" s="4"/>
      <c r="D53" s="4"/>
      <c r="E53" s="4"/>
      <c r="F53" s="4"/>
      <c r="G53" s="4"/>
      <c r="H53" s="4"/>
    </row>
    <row r="54" customFormat="false" ht="15" hidden="false" customHeight="false" outlineLevel="0" collapsed="false">
      <c r="A54" s="4"/>
      <c r="B54" s="4"/>
      <c r="C54" s="4"/>
      <c r="D54" s="4"/>
      <c r="E54" s="4"/>
      <c r="F54" s="4"/>
      <c r="G54" s="4"/>
      <c r="H54" s="4"/>
    </row>
    <row r="55" customFormat="false" ht="15" hidden="false" customHeight="false" outlineLevel="0" collapsed="false">
      <c r="A55" s="4"/>
      <c r="B55" s="4"/>
      <c r="C55" s="4"/>
      <c r="D55" s="4"/>
      <c r="E55" s="4"/>
      <c r="F55" s="4"/>
      <c r="G55" s="4"/>
      <c r="H55" s="4"/>
    </row>
    <row r="56" customFormat="false" ht="15" hidden="false" customHeight="false" outlineLevel="0" collapsed="false">
      <c r="A56" s="4"/>
      <c r="B56" s="4"/>
      <c r="C56" s="4"/>
      <c r="D56" s="4"/>
      <c r="E56" s="4"/>
      <c r="F56" s="4"/>
      <c r="G56" s="4"/>
      <c r="H56" s="4"/>
    </row>
    <row r="57" customFormat="false" ht="15" hidden="false" customHeight="false" outlineLevel="0" collapsed="false">
      <c r="A57" s="4"/>
      <c r="B57" s="4"/>
      <c r="C57" s="4"/>
      <c r="D57" s="4"/>
      <c r="E57" s="4"/>
      <c r="F57" s="4"/>
      <c r="G57" s="4"/>
      <c r="H57" s="4"/>
    </row>
    <row r="58" customFormat="false" ht="15" hidden="false" customHeight="false" outlineLevel="0" collapsed="false">
      <c r="A58" s="4"/>
      <c r="B58" s="4"/>
      <c r="C58" s="4"/>
      <c r="D58" s="4"/>
      <c r="E58" s="4"/>
      <c r="F58" s="4"/>
      <c r="G58" s="4"/>
      <c r="H58" s="4"/>
    </row>
    <row r="59" customFormat="false" ht="15" hidden="false" customHeight="false" outlineLevel="0" collapsed="false">
      <c r="A59" s="4"/>
      <c r="B59" s="4"/>
      <c r="C59" s="4"/>
      <c r="D59" s="4"/>
      <c r="E59" s="4"/>
      <c r="F59" s="4"/>
      <c r="G59" s="4"/>
      <c r="H59" s="4"/>
    </row>
    <row r="60" customFormat="false" ht="15" hidden="false" customHeight="false" outlineLevel="0" collapsed="false">
      <c r="A60" s="4"/>
      <c r="B60" s="4"/>
      <c r="C60" s="4"/>
      <c r="D60" s="4"/>
      <c r="E60" s="4"/>
      <c r="F60" s="4"/>
      <c r="G60" s="4"/>
      <c r="H60" s="4"/>
    </row>
    <row r="61" customFormat="false" ht="15" hidden="false" customHeight="false" outlineLevel="0" collapsed="false">
      <c r="A61" s="4"/>
      <c r="B61" s="4"/>
      <c r="C61" s="4"/>
      <c r="D61" s="4"/>
      <c r="E61" s="4"/>
      <c r="F61" s="4"/>
      <c r="G61" s="4"/>
      <c r="H61" s="4"/>
    </row>
    <row r="62" customFormat="false" ht="15" hidden="false" customHeight="false" outlineLevel="0" collapsed="false">
      <c r="A62" s="4"/>
      <c r="B62" s="4"/>
      <c r="C62" s="4"/>
      <c r="D62" s="4"/>
      <c r="E62" s="4"/>
      <c r="F62" s="4"/>
      <c r="G62" s="4"/>
      <c r="H62" s="4"/>
    </row>
    <row r="63" customFormat="false" ht="15" hidden="false" customHeight="false" outlineLevel="0" collapsed="false">
      <c r="A63" s="4"/>
      <c r="B63" s="4"/>
      <c r="C63" s="4"/>
      <c r="D63" s="4"/>
      <c r="E63" s="4"/>
      <c r="F63" s="4"/>
      <c r="G63" s="4"/>
      <c r="H63" s="4"/>
    </row>
    <row r="64" customFormat="false" ht="15" hidden="false" customHeight="false" outlineLevel="0" collapsed="false">
      <c r="A64" s="4"/>
      <c r="B64" s="4"/>
      <c r="C64" s="4"/>
      <c r="D64" s="4"/>
      <c r="E64" s="4"/>
      <c r="F64" s="4"/>
      <c r="G64" s="4"/>
      <c r="H64" s="4"/>
    </row>
    <row r="65" customFormat="false" ht="15" hidden="false" customHeight="false" outlineLevel="0" collapsed="false">
      <c r="A65" s="4"/>
      <c r="B65" s="4"/>
      <c r="C65" s="4"/>
      <c r="D65" s="4"/>
      <c r="E65" s="4"/>
      <c r="F65" s="4"/>
      <c r="G65" s="4"/>
      <c r="H65" s="4"/>
    </row>
    <row r="66" customFormat="false" ht="15" hidden="false" customHeight="false" outlineLevel="0" collapsed="false">
      <c r="A66" s="4"/>
      <c r="B66" s="4"/>
      <c r="C66" s="4"/>
      <c r="D66" s="4"/>
      <c r="E66" s="4"/>
      <c r="F66" s="4"/>
      <c r="G66" s="4"/>
      <c r="H66" s="4"/>
    </row>
    <row r="67" customFormat="false" ht="15" hidden="false" customHeight="false" outlineLevel="0" collapsed="false">
      <c r="A67" s="4"/>
      <c r="B67" s="4"/>
      <c r="C67" s="4"/>
      <c r="D67" s="4"/>
      <c r="E67" s="4"/>
      <c r="F67" s="4"/>
      <c r="G67" s="4"/>
      <c r="H67" s="4"/>
    </row>
    <row r="68" customFormat="false" ht="15" hidden="false" customHeight="false" outlineLevel="0" collapsed="false">
      <c r="A68" s="4"/>
      <c r="B68" s="4"/>
      <c r="C68" s="4"/>
      <c r="D68" s="4"/>
      <c r="E68" s="4"/>
      <c r="F68" s="4"/>
      <c r="G68" s="4"/>
      <c r="H68" s="4"/>
    </row>
    <row r="69" customFormat="false" ht="15" hidden="false" customHeight="false" outlineLevel="0" collapsed="false">
      <c r="A69" s="4"/>
      <c r="B69" s="4"/>
      <c r="C69" s="4"/>
      <c r="D69" s="4"/>
      <c r="E69" s="4"/>
      <c r="F69" s="4"/>
      <c r="G69" s="4"/>
      <c r="H69" s="4"/>
    </row>
    <row r="70" customFormat="false" ht="15" hidden="false" customHeight="false" outlineLevel="0" collapsed="false">
      <c r="A70" s="4"/>
      <c r="B70" s="4"/>
      <c r="C70" s="4"/>
      <c r="D70" s="4"/>
      <c r="E70" s="4"/>
      <c r="F70" s="4"/>
      <c r="G70" s="4"/>
      <c r="H70" s="4"/>
    </row>
    <row r="71" customFormat="false" ht="15" hidden="false" customHeight="false" outlineLevel="0" collapsed="false">
      <c r="A71" s="4"/>
      <c r="B71" s="4"/>
      <c r="C71" s="4"/>
      <c r="D71" s="4"/>
      <c r="E71" s="4"/>
      <c r="F71" s="4"/>
      <c r="G71" s="4"/>
      <c r="H71" s="4"/>
    </row>
    <row r="72" customFormat="false" ht="15" hidden="false" customHeight="false" outlineLevel="0" collapsed="false">
      <c r="A72" s="4"/>
      <c r="B72" s="4"/>
      <c r="C72" s="4"/>
      <c r="D72" s="4"/>
      <c r="E72" s="4"/>
      <c r="F72" s="4"/>
      <c r="G72" s="4"/>
      <c r="H72" s="4"/>
    </row>
    <row r="73" customFormat="false" ht="15" hidden="false" customHeight="false" outlineLevel="0" collapsed="false">
      <c r="A73" s="4"/>
      <c r="B73" s="4"/>
      <c r="C73" s="4"/>
      <c r="D73" s="4"/>
      <c r="E73" s="4"/>
      <c r="F73" s="4"/>
      <c r="G73" s="4"/>
      <c r="H73" s="4"/>
    </row>
    <row r="74" customFormat="false" ht="15" hidden="false" customHeight="false" outlineLevel="0" collapsed="false">
      <c r="A74" s="4"/>
      <c r="B74" s="4"/>
      <c r="C74" s="4"/>
      <c r="D74" s="4"/>
      <c r="E74" s="4"/>
      <c r="F74" s="4"/>
      <c r="G74" s="4"/>
      <c r="H74" s="4"/>
    </row>
    <row r="75" customFormat="false" ht="15" hidden="false" customHeight="false" outlineLevel="0" collapsed="false">
      <c r="A75" s="4"/>
      <c r="B75" s="4"/>
      <c r="C75" s="4"/>
      <c r="D75" s="4"/>
      <c r="E75" s="4"/>
      <c r="F75" s="4"/>
      <c r="G75" s="4"/>
      <c r="H75" s="4"/>
    </row>
    <row r="76" customFormat="false" ht="15" hidden="false" customHeight="false" outlineLevel="0" collapsed="false">
      <c r="A76" s="4"/>
      <c r="B76" s="4"/>
      <c r="C76" s="4"/>
      <c r="D76" s="4"/>
      <c r="E76" s="4"/>
      <c r="F76" s="4"/>
      <c r="G76" s="4"/>
      <c r="H76" s="4"/>
    </row>
    <row r="77" customFormat="false" ht="15" hidden="false" customHeight="false" outlineLevel="0" collapsed="false">
      <c r="A77" s="4"/>
      <c r="B77" s="4"/>
      <c r="C77" s="4"/>
      <c r="D77" s="4"/>
      <c r="E77" s="4"/>
      <c r="F77" s="4"/>
      <c r="G77" s="4"/>
      <c r="H77" s="4"/>
    </row>
    <row r="78" customFormat="false" ht="15" hidden="false" customHeight="false" outlineLevel="0" collapsed="false">
      <c r="A78" s="4"/>
      <c r="B78" s="4"/>
      <c r="C78" s="4"/>
      <c r="D78" s="4"/>
      <c r="E78" s="4"/>
      <c r="F78" s="4"/>
      <c r="G78" s="4"/>
      <c r="H78" s="4"/>
    </row>
    <row r="79" customFormat="false" ht="15" hidden="false" customHeight="false" outlineLevel="0" collapsed="false">
      <c r="A79" s="4"/>
      <c r="B79" s="4"/>
      <c r="C79" s="4"/>
      <c r="D79" s="4"/>
      <c r="E79" s="4"/>
      <c r="F79" s="4"/>
      <c r="G79" s="4"/>
      <c r="H79" s="4"/>
    </row>
    <row r="80" customFormat="false" ht="15" hidden="false" customHeight="false" outlineLevel="0" collapsed="false">
      <c r="A80" s="4"/>
      <c r="B80" s="4"/>
      <c r="C80" s="4"/>
      <c r="D80" s="4"/>
      <c r="E80" s="4"/>
      <c r="F80" s="4"/>
      <c r="G80" s="4"/>
      <c r="H80" s="4"/>
    </row>
    <row r="81" customFormat="false" ht="15" hidden="false" customHeight="false" outlineLevel="0" collapsed="false">
      <c r="A81" s="4"/>
      <c r="B81" s="4"/>
      <c r="C81" s="4"/>
      <c r="D81" s="4"/>
      <c r="E81" s="4"/>
      <c r="F81" s="4"/>
      <c r="G81" s="4"/>
      <c r="H81" s="4"/>
    </row>
    <row r="82" customFormat="false" ht="15" hidden="false" customHeight="false" outlineLevel="0" collapsed="false">
      <c r="A82" s="4"/>
      <c r="B82" s="4"/>
      <c r="C82" s="4"/>
      <c r="D82" s="4"/>
      <c r="E82" s="4"/>
      <c r="F82" s="4"/>
      <c r="G82" s="4"/>
      <c r="H82" s="4"/>
    </row>
    <row r="83" customFormat="false" ht="15" hidden="false" customHeight="false" outlineLevel="0" collapsed="false">
      <c r="A83" s="4"/>
      <c r="B83" s="4"/>
      <c r="C83" s="4"/>
      <c r="D83" s="4"/>
      <c r="E83" s="4"/>
      <c r="F83" s="4"/>
      <c r="G83" s="4"/>
      <c r="H83" s="4"/>
    </row>
    <row r="84" customFormat="false" ht="15" hidden="false" customHeight="false" outlineLevel="0" collapsed="false">
      <c r="A84" s="4"/>
      <c r="B84" s="4"/>
      <c r="C84" s="4"/>
      <c r="D84" s="4"/>
      <c r="E84" s="4"/>
      <c r="F84" s="4"/>
      <c r="G84" s="4"/>
      <c r="H84" s="4"/>
    </row>
    <row r="85" customFormat="false" ht="15" hidden="false" customHeight="false" outlineLevel="0" collapsed="false">
      <c r="A85" s="4"/>
      <c r="B85" s="4"/>
      <c r="C85" s="4"/>
      <c r="D85" s="4"/>
      <c r="E85" s="4"/>
      <c r="F85" s="4"/>
      <c r="G85" s="4"/>
      <c r="H85" s="4"/>
    </row>
    <row r="86" customFormat="false" ht="15" hidden="false" customHeight="false" outlineLevel="0" collapsed="false">
      <c r="A86" s="4"/>
      <c r="B86" s="4"/>
      <c r="C86" s="4"/>
      <c r="D86" s="4"/>
      <c r="E86" s="4"/>
      <c r="F86" s="4"/>
      <c r="G86" s="4"/>
      <c r="H86" s="4"/>
    </row>
    <row r="87" customFormat="false" ht="15" hidden="false" customHeight="false" outlineLevel="0" collapsed="false">
      <c r="A87" s="4"/>
      <c r="B87" s="4"/>
      <c r="C87" s="4"/>
      <c r="D87" s="4"/>
      <c r="E87" s="4"/>
      <c r="F87" s="4"/>
      <c r="G87" s="4"/>
      <c r="H87" s="4"/>
    </row>
    <row r="88" customFormat="false" ht="15" hidden="false" customHeight="false" outlineLevel="0" collapsed="false">
      <c r="A88" s="4"/>
      <c r="B88" s="4"/>
      <c r="C88" s="4"/>
      <c r="D88" s="4"/>
      <c r="E88" s="4"/>
      <c r="F88" s="4"/>
      <c r="G88" s="4"/>
      <c r="H88" s="4"/>
    </row>
    <row r="89" customFormat="false" ht="15" hidden="false" customHeight="false" outlineLevel="0" collapsed="false">
      <c r="A89" s="4"/>
      <c r="B89" s="4"/>
      <c r="C89" s="4"/>
      <c r="D89" s="4"/>
      <c r="E89" s="4"/>
      <c r="F89" s="4"/>
      <c r="G89" s="4"/>
      <c r="H89" s="4"/>
    </row>
    <row r="90" customFormat="false" ht="15" hidden="false" customHeight="false" outlineLevel="0" collapsed="false">
      <c r="A90" s="4"/>
      <c r="B90" s="4"/>
      <c r="C90" s="4"/>
      <c r="D90" s="4"/>
      <c r="E90" s="4"/>
      <c r="F90" s="4"/>
      <c r="G90" s="4"/>
      <c r="H90" s="4"/>
    </row>
    <row r="91" customFormat="false" ht="15" hidden="false" customHeight="false" outlineLevel="0" collapsed="false">
      <c r="A91" s="4"/>
      <c r="B91" s="4"/>
      <c r="C91" s="4"/>
      <c r="D91" s="4"/>
      <c r="E91" s="4"/>
      <c r="F91" s="4"/>
      <c r="G91" s="4"/>
      <c r="H91" s="4"/>
    </row>
    <row r="92" customFormat="false" ht="15" hidden="false" customHeight="false" outlineLevel="0" collapsed="false">
      <c r="A92" s="4"/>
      <c r="B92" s="4"/>
      <c r="C92" s="4"/>
      <c r="D92" s="4"/>
      <c r="E92" s="4"/>
      <c r="F92" s="4"/>
      <c r="G92" s="4"/>
      <c r="H92" s="4"/>
    </row>
    <row r="93" customFormat="false" ht="15" hidden="false" customHeight="false" outlineLevel="0" collapsed="false">
      <c r="A93" s="4"/>
      <c r="B93" s="4"/>
      <c r="C93" s="4"/>
      <c r="D93" s="4"/>
      <c r="E93" s="4"/>
      <c r="F93" s="4"/>
      <c r="G93" s="4"/>
      <c r="H93" s="4"/>
    </row>
    <row r="94" customFormat="false" ht="15" hidden="false" customHeight="false" outlineLevel="0" collapsed="false">
      <c r="A94" s="4"/>
      <c r="B94" s="4"/>
      <c r="C94" s="4"/>
      <c r="D94" s="4"/>
      <c r="E94" s="4"/>
      <c r="F94" s="4"/>
      <c r="G94" s="4"/>
      <c r="H94" s="4"/>
    </row>
    <row r="95" customFormat="false" ht="15" hidden="false" customHeight="false" outlineLevel="0" collapsed="false">
      <c r="A95" s="4"/>
      <c r="B95" s="4"/>
      <c r="C95" s="4"/>
      <c r="D95" s="4"/>
      <c r="E95" s="4"/>
      <c r="F95" s="4"/>
      <c r="G95" s="4"/>
      <c r="H95" s="4"/>
    </row>
    <row r="96" customFormat="false" ht="15" hidden="false" customHeight="false" outlineLevel="0" collapsed="false">
      <c r="A96" s="4"/>
      <c r="B96" s="4"/>
      <c r="C96" s="4"/>
      <c r="D96" s="4"/>
      <c r="E96" s="4"/>
      <c r="F96" s="4"/>
      <c r="G96" s="4"/>
      <c r="H96" s="4"/>
    </row>
    <row r="97" customFormat="false" ht="15" hidden="false" customHeight="false" outlineLevel="0" collapsed="false">
      <c r="A97" s="4"/>
      <c r="B97" s="4"/>
      <c r="C97" s="4"/>
      <c r="D97" s="4"/>
      <c r="E97" s="4"/>
      <c r="F97" s="4"/>
      <c r="G97" s="4"/>
      <c r="H97" s="4"/>
    </row>
    <row r="98" customFormat="false" ht="15" hidden="false" customHeight="false" outlineLevel="0" collapsed="false">
      <c r="A98" s="4"/>
      <c r="B98" s="4"/>
      <c r="C98" s="4"/>
      <c r="D98" s="4"/>
      <c r="E98" s="4"/>
      <c r="F98" s="4"/>
      <c r="G98" s="4"/>
      <c r="H98" s="4"/>
    </row>
    <row r="99" customFormat="false" ht="15" hidden="false" customHeight="false" outlineLevel="0" collapsed="false">
      <c r="A99" s="4"/>
      <c r="B99" s="4"/>
      <c r="C99" s="4"/>
      <c r="D99" s="4"/>
      <c r="E99" s="4"/>
      <c r="F99" s="4"/>
      <c r="G99" s="4"/>
      <c r="H99" s="4"/>
    </row>
    <row r="100" customFormat="false" ht="15" hidden="false" customHeight="true" outlineLevel="0" collapsed="false">
      <c r="A100" s="5" t="s">
        <v>121</v>
      </c>
      <c r="B100" s="4"/>
      <c r="C100" s="8" t="n">
        <f aca="false">D39</f>
        <v>603684.8</v>
      </c>
      <c r="D100" s="4"/>
      <c r="E100" s="4"/>
      <c r="F100" s="4"/>
      <c r="G100" s="4"/>
      <c r="H100" s="4"/>
    </row>
    <row r="101" customFormat="false" ht="15" hidden="false" customHeight="false" outlineLevel="0" collapsed="false">
      <c r="A101" s="4"/>
      <c r="B101" s="4"/>
      <c r="C101" s="4"/>
      <c r="D101" s="4"/>
      <c r="E101" s="4"/>
      <c r="F101" s="4"/>
      <c r="G101" s="4"/>
      <c r="H101" s="4"/>
    </row>
    <row r="102" customFormat="false" ht="15" hidden="false" customHeight="false" outlineLevel="0" collapsed="false">
      <c r="A102" s="4"/>
      <c r="B102" s="4"/>
      <c r="C102" s="4"/>
      <c r="D102" s="4"/>
      <c r="E102" s="4"/>
      <c r="F102" s="4"/>
      <c r="G102" s="4"/>
      <c r="H102" s="4"/>
    </row>
    <row r="103" customFormat="false" ht="15" hidden="false" customHeight="false" outlineLevel="0" collapsed="false">
      <c r="A103" s="4"/>
      <c r="B103" s="4"/>
      <c r="C103" s="4"/>
      <c r="D103" s="4"/>
      <c r="E103" s="4"/>
      <c r="F103" s="4"/>
      <c r="G103" s="4"/>
      <c r="H103" s="4"/>
    </row>
    <row r="104" customFormat="false" ht="15" hidden="false" customHeight="false" outlineLevel="0" collapsed="false">
      <c r="A104" s="4"/>
      <c r="B104" s="4"/>
      <c r="C104" s="4"/>
      <c r="D104" s="4"/>
      <c r="E104" s="4"/>
      <c r="F104" s="4"/>
      <c r="G104" s="4"/>
      <c r="H104" s="4"/>
    </row>
    <row r="105" customFormat="false" ht="15" hidden="false" customHeight="false" outlineLevel="0" collapsed="false">
      <c r="A105" s="4"/>
      <c r="B105" s="4"/>
      <c r="C105" s="4"/>
      <c r="D105" s="4"/>
      <c r="E105" s="4"/>
      <c r="F105" s="4"/>
      <c r="G105" s="4"/>
      <c r="H105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4"/>
      <c r="C1" s="4"/>
      <c r="D1" s="4"/>
      <c r="E1" s="4"/>
      <c r="F1" s="4"/>
      <c r="G1" s="4"/>
      <c r="H1" s="4"/>
    </row>
    <row r="2" customFormat="false" ht="15" hidden="false" customHeight="true" outlineLevel="0" collapsed="false">
      <c r="A2" s="5" t="s">
        <v>122</v>
      </c>
      <c r="B2" s="4"/>
      <c r="C2" s="4"/>
      <c r="D2" s="4"/>
      <c r="E2" s="4"/>
      <c r="F2" s="4"/>
      <c r="G2" s="4"/>
      <c r="H2" s="4"/>
    </row>
    <row r="3" customFormat="false" ht="15" hidden="false" customHeight="true" outlineLevel="0" collapsed="false">
      <c r="A3" s="5" t="s">
        <v>58</v>
      </c>
      <c r="B3" s="4"/>
      <c r="C3" s="4"/>
      <c r="D3" s="4"/>
      <c r="E3" s="4"/>
      <c r="F3" s="4"/>
      <c r="G3" s="4"/>
      <c r="H3" s="4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</row>
    <row r="5" customFormat="false" ht="15" hidden="false" customHeight="true" outlineLevel="0" collapsed="false">
      <c r="A5" s="6" t="s">
        <v>59</v>
      </c>
      <c r="B5" s="4"/>
      <c r="C5" s="4"/>
      <c r="D5" s="4"/>
      <c r="E5" s="4"/>
      <c r="F5" s="4"/>
      <c r="G5" s="4"/>
      <c r="H5" s="4"/>
    </row>
    <row r="6" customFormat="false" ht="15" hidden="false" customHeight="true" outlineLevel="0" collapsed="false">
      <c r="A6" s="7" t="s">
        <v>60</v>
      </c>
      <c r="B6" s="7" t="s">
        <v>61</v>
      </c>
      <c r="C6" s="7" t="s">
        <v>62</v>
      </c>
      <c r="D6" s="7" t="s">
        <v>63</v>
      </c>
      <c r="E6" s="7" t="s">
        <v>64</v>
      </c>
      <c r="F6" s="7" t="s">
        <v>65</v>
      </c>
      <c r="G6" s="4"/>
      <c r="H6" s="4"/>
    </row>
    <row r="7" customFormat="false" ht="15" hidden="false" customHeight="true" outlineLevel="0" collapsed="false">
      <c r="A7" s="12" t="s">
        <v>123</v>
      </c>
      <c r="B7" s="13" t="n">
        <v>45</v>
      </c>
      <c r="C7" s="13" t="n">
        <v>0</v>
      </c>
      <c r="D7" s="14" t="n">
        <f aca="false">B7+C7*Wyjaśnienia!$B$14/60</f>
        <v>45</v>
      </c>
      <c r="E7" s="15" t="n">
        <f aca="false">D7*Wyjaśnienia!$B$13</f>
        <v>9900</v>
      </c>
      <c r="F7" s="5" t="s">
        <v>124</v>
      </c>
      <c r="G7" s="4"/>
      <c r="H7" s="4"/>
    </row>
    <row r="8" customFormat="false" ht="15" hidden="false" customHeight="true" outlineLevel="0" collapsed="false">
      <c r="A8" s="12" t="s">
        <v>125</v>
      </c>
      <c r="B8" s="13" t="n">
        <v>40</v>
      </c>
      <c r="C8" s="13" t="n">
        <v>0</v>
      </c>
      <c r="D8" s="14" t="n">
        <f aca="false">B8+C8*Wyjaśnienia!$B$14/60</f>
        <v>40</v>
      </c>
      <c r="E8" s="15" t="n">
        <f aca="false">D8*Wyjaśnienia!$B$13</f>
        <v>8800</v>
      </c>
      <c r="F8" s="5" t="s">
        <v>126</v>
      </c>
      <c r="G8" s="4"/>
      <c r="H8" s="4"/>
    </row>
    <row r="9" customFormat="false" ht="15" hidden="false" customHeight="true" outlineLevel="0" collapsed="false">
      <c r="A9" s="12" t="s">
        <v>127</v>
      </c>
      <c r="B9" s="13" t="n">
        <v>30</v>
      </c>
      <c r="C9" s="13" t="n">
        <v>0</v>
      </c>
      <c r="D9" s="14" t="n">
        <f aca="false">B9+C9*Wyjaśnienia!$B$14/60</f>
        <v>30</v>
      </c>
      <c r="E9" s="15" t="n">
        <f aca="false">D9*Wyjaśnienia!$B$13</f>
        <v>6600</v>
      </c>
      <c r="F9" s="5" t="s">
        <v>128</v>
      </c>
      <c r="G9" s="4"/>
      <c r="H9" s="4"/>
    </row>
    <row r="10" customFormat="false" ht="15" hidden="false" customHeight="true" outlineLevel="0" collapsed="false">
      <c r="A10" s="12" t="s">
        <v>129</v>
      </c>
      <c r="B10" s="13" t="n">
        <v>50</v>
      </c>
      <c r="C10" s="13" t="n">
        <v>0</v>
      </c>
      <c r="D10" s="14" t="n">
        <f aca="false">B10+C10*Wyjaśnienia!$B$14/60</f>
        <v>50</v>
      </c>
      <c r="E10" s="15" t="n">
        <f aca="false">D10*Wyjaśnienia!$B$13</f>
        <v>11000</v>
      </c>
      <c r="F10" s="5" t="s">
        <v>130</v>
      </c>
      <c r="G10" s="4"/>
      <c r="H10" s="4"/>
    </row>
    <row r="11" customFormat="false" ht="15" hidden="false" customHeight="true" outlineLevel="0" collapsed="false">
      <c r="A11" s="12" t="s">
        <v>131</v>
      </c>
      <c r="B11" s="13" t="n">
        <v>25</v>
      </c>
      <c r="C11" s="13" t="n">
        <v>0</v>
      </c>
      <c r="D11" s="14" t="n">
        <f aca="false">B11+C11*Wyjaśnienia!$B$14/60</f>
        <v>25</v>
      </c>
      <c r="E11" s="15" t="n">
        <f aca="false">D11*Wyjaśnienia!$B$13</f>
        <v>5500</v>
      </c>
      <c r="F11" s="5" t="s">
        <v>132</v>
      </c>
      <c r="G11" s="4"/>
      <c r="H11" s="4"/>
    </row>
    <row r="12" customFormat="false" ht="15" hidden="false" customHeight="true" outlineLevel="0" collapsed="false">
      <c r="A12" s="12" t="s">
        <v>133</v>
      </c>
      <c r="B12" s="13" t="n">
        <v>160</v>
      </c>
      <c r="C12" s="13" t="n">
        <v>0</v>
      </c>
      <c r="D12" s="14" t="n">
        <f aca="false">B12+C12*Wyjaśnienia!$B$14/60</f>
        <v>160</v>
      </c>
      <c r="E12" s="15" t="n">
        <f aca="false">D12*Wyjaśnienia!$B$13</f>
        <v>35200</v>
      </c>
      <c r="F12" s="5" t="s">
        <v>134</v>
      </c>
      <c r="G12" s="4"/>
      <c r="H12" s="4"/>
    </row>
    <row r="13" customFormat="false" ht="15" hidden="false" customHeight="true" outlineLevel="0" collapsed="false">
      <c r="A13" s="12" t="s">
        <v>135</v>
      </c>
      <c r="B13" s="13" t="n">
        <v>50</v>
      </c>
      <c r="C13" s="13" t="n">
        <v>0</v>
      </c>
      <c r="D13" s="14" t="n">
        <f aca="false">B13+C13*Wyjaśnienia!$B$14/60</f>
        <v>50</v>
      </c>
      <c r="E13" s="15" t="n">
        <f aca="false">D13*Wyjaśnienia!$B$13</f>
        <v>11000</v>
      </c>
      <c r="F13" s="5" t="s">
        <v>136</v>
      </c>
      <c r="G13" s="4"/>
      <c r="H13" s="4"/>
    </row>
    <row r="14" customFormat="false" ht="15" hidden="false" customHeight="true" outlineLevel="0" collapsed="false">
      <c r="A14" s="7" t="s">
        <v>88</v>
      </c>
      <c r="B14" s="4"/>
      <c r="C14" s="4"/>
      <c r="D14" s="16" t="n">
        <f aca="false">SUM(D7:D13)</f>
        <v>400</v>
      </c>
      <c r="E14" s="9" t="n">
        <f aca="false">SUM(E7:E13)</f>
        <v>88000</v>
      </c>
      <c r="F14" s="4"/>
      <c r="G14" s="4"/>
      <c r="H14" s="4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4"/>
      <c r="H15" s="4"/>
    </row>
    <row r="16" customFormat="false" ht="15" hidden="false" customHeight="true" outlineLevel="0" collapsed="false">
      <c r="A16" s="6" t="s">
        <v>89</v>
      </c>
      <c r="B16" s="4"/>
      <c r="C16" s="4"/>
      <c r="D16" s="4"/>
      <c r="E16" s="4"/>
      <c r="F16" s="4"/>
      <c r="G16" s="4"/>
      <c r="H16" s="4"/>
    </row>
    <row r="17" customFormat="false" ht="15" hidden="false" customHeight="true" outlineLevel="0" collapsed="false">
      <c r="A17" s="7" t="s">
        <v>60</v>
      </c>
      <c r="B17" s="7" t="s">
        <v>90</v>
      </c>
      <c r="C17" s="7" t="s">
        <v>91</v>
      </c>
      <c r="D17" s="7" t="s">
        <v>64</v>
      </c>
      <c r="E17" s="7" t="s">
        <v>65</v>
      </c>
      <c r="F17" s="4"/>
      <c r="G17" s="4"/>
      <c r="H17" s="4"/>
    </row>
    <row r="18" customFormat="false" ht="15" hidden="false" customHeight="true" outlineLevel="0" collapsed="false">
      <c r="A18" s="12" t="s">
        <v>137</v>
      </c>
      <c r="B18" s="17" t="n">
        <v>3000</v>
      </c>
      <c r="C18" s="13" t="n">
        <v>1</v>
      </c>
      <c r="D18" s="15" t="n">
        <f aca="false">B18*C18</f>
        <v>3000</v>
      </c>
      <c r="E18" s="5" t="s">
        <v>138</v>
      </c>
      <c r="F18" s="4"/>
      <c r="G18" s="4"/>
      <c r="H18" s="4"/>
    </row>
    <row r="19" customFormat="false" ht="15" hidden="false" customHeight="true" outlineLevel="0" collapsed="false">
      <c r="A19" s="12" t="s">
        <v>139</v>
      </c>
      <c r="B19" s="17" t="n">
        <v>6000</v>
      </c>
      <c r="C19" s="13" t="n">
        <v>1</v>
      </c>
      <c r="D19" s="15" t="n">
        <f aca="false">B19*C19</f>
        <v>6000</v>
      </c>
      <c r="E19" s="5" t="s">
        <v>140</v>
      </c>
      <c r="F19" s="4"/>
      <c r="G19" s="4"/>
      <c r="H19" s="4"/>
    </row>
    <row r="20" customFormat="false" ht="15" hidden="false" customHeight="true" outlineLevel="0" collapsed="false">
      <c r="A20" s="12" t="s">
        <v>141</v>
      </c>
      <c r="B20" s="17" t="n">
        <v>10000</v>
      </c>
      <c r="C20" s="13" t="n">
        <v>1</v>
      </c>
      <c r="D20" s="15" t="n">
        <f aca="false">B20*C20</f>
        <v>10000</v>
      </c>
      <c r="E20" s="5" t="s">
        <v>142</v>
      </c>
      <c r="F20" s="4"/>
      <c r="G20" s="4"/>
      <c r="H20" s="4"/>
    </row>
    <row r="21" customFormat="false" ht="15" hidden="false" customHeight="true" outlineLevel="0" collapsed="false">
      <c r="A21" s="12" t="s">
        <v>143</v>
      </c>
      <c r="B21" s="17" t="n">
        <v>40000</v>
      </c>
      <c r="C21" s="13" t="n">
        <v>1</v>
      </c>
      <c r="D21" s="15" t="n">
        <f aca="false">B21*C21</f>
        <v>40000</v>
      </c>
      <c r="E21" s="5" t="s">
        <v>144</v>
      </c>
      <c r="F21" s="4"/>
      <c r="G21" s="4"/>
      <c r="H21" s="4"/>
    </row>
    <row r="22" customFormat="false" ht="15" hidden="false" customHeight="true" outlineLevel="0" collapsed="false">
      <c r="A22" s="12" t="s">
        <v>145</v>
      </c>
      <c r="B22" s="17" t="n">
        <v>4000</v>
      </c>
      <c r="C22" s="13" t="n">
        <v>1</v>
      </c>
      <c r="D22" s="15" t="n">
        <f aca="false">B22*C22</f>
        <v>4000</v>
      </c>
      <c r="E22" s="5" t="s">
        <v>146</v>
      </c>
      <c r="F22" s="4"/>
      <c r="G22" s="4"/>
      <c r="H22" s="4"/>
    </row>
    <row r="23" customFormat="false" ht="15" hidden="false" customHeight="true" outlineLevel="0" collapsed="false">
      <c r="A23" s="12" t="s">
        <v>147</v>
      </c>
      <c r="B23" s="17" t="n">
        <v>3000</v>
      </c>
      <c r="C23" s="13" t="n">
        <v>1</v>
      </c>
      <c r="D23" s="15" t="n">
        <f aca="false">B23*C23</f>
        <v>3000</v>
      </c>
      <c r="E23" s="5" t="s">
        <v>148</v>
      </c>
      <c r="F23" s="4"/>
      <c r="G23" s="4"/>
      <c r="H23" s="4"/>
    </row>
    <row r="24" customFormat="false" ht="15" hidden="false" customHeight="true" outlineLevel="0" collapsed="false">
      <c r="A24" s="12" t="s">
        <v>149</v>
      </c>
      <c r="B24" s="17" t="n">
        <v>4000</v>
      </c>
      <c r="C24" s="13" t="n">
        <v>1</v>
      </c>
      <c r="D24" s="15" t="n">
        <f aca="false">B24*C24</f>
        <v>4000</v>
      </c>
      <c r="E24" s="5" t="s">
        <v>150</v>
      </c>
      <c r="F24" s="4"/>
      <c r="G24" s="4"/>
      <c r="H24" s="4"/>
    </row>
    <row r="25" customFormat="false" ht="15" hidden="false" customHeight="true" outlineLevel="0" collapsed="false">
      <c r="A25" s="12" t="s">
        <v>151</v>
      </c>
      <c r="B25" s="17" t="n">
        <v>0</v>
      </c>
      <c r="C25" s="13" t="n">
        <v>1</v>
      </c>
      <c r="D25" s="15" t="n">
        <f aca="false">B25*C25</f>
        <v>0</v>
      </c>
      <c r="E25" s="5" t="s">
        <v>152</v>
      </c>
      <c r="F25" s="4"/>
      <c r="G25" s="4"/>
      <c r="H25" s="4"/>
    </row>
    <row r="26" customFormat="false" ht="15" hidden="false" customHeight="true" outlineLevel="0" collapsed="false">
      <c r="A26" s="12" t="s">
        <v>153</v>
      </c>
      <c r="B26" s="17" t="n">
        <v>15000</v>
      </c>
      <c r="C26" s="13" t="n">
        <v>1</v>
      </c>
      <c r="D26" s="15" t="n">
        <f aca="false">B26*C26</f>
        <v>15000</v>
      </c>
      <c r="E26" s="5" t="s">
        <v>154</v>
      </c>
      <c r="F26" s="4"/>
      <c r="G26" s="4"/>
      <c r="H26" s="4"/>
    </row>
    <row r="27" customFormat="false" ht="15" hidden="false" customHeight="true" outlineLevel="0" collapsed="false">
      <c r="A27" s="12" t="s">
        <v>155</v>
      </c>
      <c r="B27" s="17" t="n">
        <v>6000</v>
      </c>
      <c r="C27" s="13" t="n">
        <v>1</v>
      </c>
      <c r="D27" s="15" t="n">
        <f aca="false">B27*C27</f>
        <v>6000</v>
      </c>
      <c r="E27" s="5" t="s">
        <v>156</v>
      </c>
      <c r="F27" s="4"/>
      <c r="G27" s="4"/>
      <c r="H27" s="4"/>
    </row>
    <row r="28" customFormat="false" ht="15" hidden="false" customHeight="true" outlineLevel="0" collapsed="false">
      <c r="A28" s="12" t="s">
        <v>157</v>
      </c>
      <c r="B28" s="17" t="n">
        <v>30000</v>
      </c>
      <c r="C28" s="13" t="n">
        <v>1</v>
      </c>
      <c r="D28" s="15" t="n">
        <f aca="false">B28*C28</f>
        <v>30000</v>
      </c>
      <c r="E28" s="5" t="s">
        <v>158</v>
      </c>
      <c r="F28" s="4"/>
      <c r="G28" s="4"/>
      <c r="H28" s="4"/>
    </row>
    <row r="29" customFormat="false" ht="15" hidden="false" customHeight="true" outlineLevel="0" collapsed="false">
      <c r="A29" s="7" t="s">
        <v>112</v>
      </c>
      <c r="B29" s="4"/>
      <c r="C29" s="4"/>
      <c r="D29" s="9" t="n">
        <f aca="false">SUM(D18:D28)</f>
        <v>121000</v>
      </c>
      <c r="E29" s="4"/>
      <c r="F29" s="4"/>
      <c r="G29" s="4"/>
      <c r="H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</row>
    <row r="31" customFormat="false" ht="15" hidden="false" customHeight="true" outlineLevel="0" collapsed="false">
      <c r="A31" s="6" t="s">
        <v>113</v>
      </c>
      <c r="B31" s="4"/>
      <c r="C31" s="4"/>
      <c r="D31" s="4"/>
      <c r="E31" s="4"/>
      <c r="F31" s="4"/>
      <c r="G31" s="4"/>
      <c r="H31" s="4"/>
    </row>
    <row r="32" customFormat="false" ht="15" hidden="false" customHeight="true" outlineLevel="0" collapsed="false">
      <c r="A32" s="12" t="s">
        <v>115</v>
      </c>
      <c r="B32" s="4"/>
      <c r="C32" s="4"/>
      <c r="D32" s="8" t="n">
        <f aca="false">E14</f>
        <v>88000</v>
      </c>
      <c r="E32" s="4"/>
      <c r="F32" s="4"/>
      <c r="G32" s="4"/>
      <c r="H32" s="4"/>
    </row>
    <row r="33" customFormat="false" ht="15" hidden="false" customHeight="true" outlineLevel="0" collapsed="false">
      <c r="A33" s="12" t="s">
        <v>116</v>
      </c>
      <c r="B33" s="4"/>
      <c r="C33" s="4"/>
      <c r="D33" s="8" t="n">
        <f aca="false">D29</f>
        <v>121000</v>
      </c>
      <c r="E33" s="4"/>
      <c r="F33" s="4"/>
      <c r="G33" s="4"/>
      <c r="H33" s="4"/>
    </row>
    <row r="34" customFormat="false" ht="15" hidden="false" customHeight="true" outlineLevel="0" collapsed="false">
      <c r="A34" s="12" t="s">
        <v>159</v>
      </c>
      <c r="B34" s="4"/>
      <c r="C34" s="4"/>
      <c r="D34" s="8" t="n">
        <f aca="false">(D32+D33)*Wyjaśnienia!$B$26</f>
        <v>62700</v>
      </c>
      <c r="E34" s="4"/>
      <c r="F34" s="4"/>
      <c r="G34" s="4"/>
      <c r="H34" s="4"/>
    </row>
    <row r="35" customFormat="false" ht="15" hidden="false" customHeight="true" outlineLevel="0" collapsed="false">
      <c r="A35" s="7" t="s">
        <v>118</v>
      </c>
      <c r="B35" s="4"/>
      <c r="C35" s="4"/>
      <c r="D35" s="9" t="n">
        <f aca="false">SUM(D32:D34)</f>
        <v>271700</v>
      </c>
      <c r="E35" s="4"/>
      <c r="F35" s="4"/>
      <c r="G35" s="4"/>
      <c r="H35" s="4"/>
    </row>
    <row r="36" customFormat="false" ht="15" hidden="false" customHeight="true" outlineLevel="0" collapsed="false">
      <c r="A36" s="12" t="s">
        <v>119</v>
      </c>
      <c r="B36" s="4"/>
      <c r="C36" s="4"/>
      <c r="D36" s="8" t="n">
        <f aca="false">D35*Wyjaśnienia!$B$28</f>
        <v>62491</v>
      </c>
      <c r="E36" s="4"/>
      <c r="F36" s="4"/>
      <c r="G36" s="4"/>
      <c r="H36" s="4"/>
    </row>
    <row r="37" customFormat="false" ht="15" hidden="false" customHeight="true" outlineLevel="0" collapsed="false">
      <c r="A37" s="7" t="s">
        <v>120</v>
      </c>
      <c r="B37" s="4"/>
      <c r="C37" s="4"/>
      <c r="D37" s="18" t="n">
        <f aca="false">D35+D36</f>
        <v>334191</v>
      </c>
      <c r="E37" s="4"/>
      <c r="F37" s="4"/>
      <c r="G37" s="4"/>
      <c r="H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</row>
    <row r="51" customFormat="false" ht="15" hidden="false" customHeight="false" outlineLevel="0" collapsed="false">
      <c r="A51" s="4"/>
      <c r="B51" s="4"/>
      <c r="C51" s="4"/>
      <c r="D51" s="4"/>
      <c r="E51" s="4"/>
      <c r="F51" s="4"/>
      <c r="G51" s="4"/>
      <c r="H51" s="4"/>
    </row>
    <row r="52" customFormat="false" ht="15" hidden="false" customHeight="false" outlineLevel="0" collapsed="false">
      <c r="A52" s="4"/>
      <c r="B52" s="4"/>
      <c r="C52" s="4"/>
      <c r="D52" s="4"/>
      <c r="E52" s="4"/>
      <c r="F52" s="4"/>
      <c r="G52" s="4"/>
      <c r="H52" s="4"/>
    </row>
    <row r="53" customFormat="false" ht="15" hidden="false" customHeight="false" outlineLevel="0" collapsed="false">
      <c r="A53" s="4"/>
      <c r="B53" s="4"/>
      <c r="C53" s="4"/>
      <c r="D53" s="4"/>
      <c r="E53" s="4"/>
      <c r="F53" s="4"/>
      <c r="G53" s="4"/>
      <c r="H53" s="4"/>
    </row>
    <row r="54" customFormat="false" ht="15" hidden="false" customHeight="false" outlineLevel="0" collapsed="false">
      <c r="A54" s="4"/>
      <c r="B54" s="4"/>
      <c r="C54" s="4"/>
      <c r="D54" s="4"/>
      <c r="E54" s="4"/>
      <c r="F54" s="4"/>
      <c r="G54" s="4"/>
      <c r="H54" s="4"/>
    </row>
    <row r="55" customFormat="false" ht="15" hidden="false" customHeight="false" outlineLevel="0" collapsed="false">
      <c r="A55" s="4"/>
      <c r="B55" s="4"/>
      <c r="C55" s="4"/>
      <c r="D55" s="4"/>
      <c r="E55" s="4"/>
      <c r="F55" s="4"/>
      <c r="G55" s="4"/>
      <c r="H55" s="4"/>
    </row>
    <row r="56" customFormat="false" ht="15" hidden="false" customHeight="false" outlineLevel="0" collapsed="false">
      <c r="A56" s="4"/>
      <c r="B56" s="4"/>
      <c r="C56" s="4"/>
      <c r="D56" s="4"/>
      <c r="E56" s="4"/>
      <c r="F56" s="4"/>
      <c r="G56" s="4"/>
      <c r="H56" s="4"/>
    </row>
    <row r="57" customFormat="false" ht="15" hidden="false" customHeight="false" outlineLevel="0" collapsed="false">
      <c r="A57" s="4"/>
      <c r="B57" s="4"/>
      <c r="C57" s="4"/>
      <c r="D57" s="4"/>
      <c r="E57" s="4"/>
      <c r="F57" s="4"/>
      <c r="G57" s="4"/>
      <c r="H57" s="4"/>
    </row>
    <row r="58" customFormat="false" ht="15" hidden="false" customHeight="false" outlineLevel="0" collapsed="false">
      <c r="A58" s="4"/>
      <c r="B58" s="4"/>
      <c r="C58" s="4"/>
      <c r="D58" s="4"/>
      <c r="E58" s="4"/>
      <c r="F58" s="4"/>
      <c r="G58" s="4"/>
      <c r="H58" s="4"/>
    </row>
    <row r="59" customFormat="false" ht="15" hidden="false" customHeight="false" outlineLevel="0" collapsed="false">
      <c r="A59" s="4"/>
      <c r="B59" s="4"/>
      <c r="C59" s="4"/>
      <c r="D59" s="4"/>
      <c r="E59" s="4"/>
      <c r="F59" s="4"/>
      <c r="G59" s="4"/>
      <c r="H59" s="4"/>
    </row>
    <row r="60" customFormat="false" ht="15" hidden="false" customHeight="false" outlineLevel="0" collapsed="false">
      <c r="A60" s="4"/>
      <c r="B60" s="4"/>
      <c r="C60" s="4"/>
      <c r="D60" s="4"/>
      <c r="E60" s="4"/>
      <c r="F60" s="4"/>
      <c r="G60" s="4"/>
      <c r="H60" s="4"/>
    </row>
    <row r="61" customFormat="false" ht="15" hidden="false" customHeight="false" outlineLevel="0" collapsed="false">
      <c r="A61" s="4"/>
      <c r="B61" s="4"/>
      <c r="C61" s="4"/>
      <c r="D61" s="4"/>
      <c r="E61" s="4"/>
      <c r="F61" s="4"/>
      <c r="G61" s="4"/>
      <c r="H61" s="4"/>
    </row>
    <row r="62" customFormat="false" ht="15" hidden="false" customHeight="false" outlineLevel="0" collapsed="false">
      <c r="A62" s="4"/>
      <c r="B62" s="4"/>
      <c r="C62" s="4"/>
      <c r="D62" s="4"/>
      <c r="E62" s="4"/>
      <c r="F62" s="4"/>
      <c r="G62" s="4"/>
      <c r="H62" s="4"/>
    </row>
    <row r="63" customFormat="false" ht="15" hidden="false" customHeight="false" outlineLevel="0" collapsed="false">
      <c r="A63" s="4"/>
      <c r="B63" s="4"/>
      <c r="C63" s="4"/>
      <c r="D63" s="4"/>
      <c r="E63" s="4"/>
      <c r="F63" s="4"/>
      <c r="G63" s="4"/>
      <c r="H63" s="4"/>
    </row>
    <row r="64" customFormat="false" ht="15" hidden="false" customHeight="false" outlineLevel="0" collapsed="false">
      <c r="A64" s="4"/>
      <c r="B64" s="4"/>
      <c r="C64" s="4"/>
      <c r="D64" s="4"/>
      <c r="E64" s="4"/>
      <c r="F64" s="4"/>
      <c r="G64" s="4"/>
      <c r="H64" s="4"/>
    </row>
    <row r="65" customFormat="false" ht="15" hidden="false" customHeight="false" outlineLevel="0" collapsed="false">
      <c r="A65" s="4"/>
      <c r="B65" s="4"/>
      <c r="C65" s="4"/>
      <c r="D65" s="4"/>
      <c r="E65" s="4"/>
      <c r="F65" s="4"/>
      <c r="G65" s="4"/>
      <c r="H65" s="4"/>
    </row>
    <row r="66" customFormat="false" ht="15" hidden="false" customHeight="false" outlineLevel="0" collapsed="false">
      <c r="A66" s="4"/>
      <c r="B66" s="4"/>
      <c r="C66" s="4"/>
      <c r="D66" s="4"/>
      <c r="E66" s="4"/>
      <c r="F66" s="4"/>
      <c r="G66" s="4"/>
      <c r="H66" s="4"/>
    </row>
    <row r="67" customFormat="false" ht="15" hidden="false" customHeight="false" outlineLevel="0" collapsed="false">
      <c r="A67" s="4"/>
      <c r="B67" s="4"/>
      <c r="C67" s="4"/>
      <c r="D67" s="4"/>
      <c r="E67" s="4"/>
      <c r="F67" s="4"/>
      <c r="G67" s="4"/>
      <c r="H67" s="4"/>
    </row>
    <row r="68" customFormat="false" ht="15" hidden="false" customHeight="false" outlineLevel="0" collapsed="false">
      <c r="A68" s="4"/>
      <c r="B68" s="4"/>
      <c r="C68" s="4"/>
      <c r="D68" s="4"/>
      <c r="E68" s="4"/>
      <c r="F68" s="4"/>
      <c r="G68" s="4"/>
      <c r="H68" s="4"/>
    </row>
    <row r="69" customFormat="false" ht="15" hidden="false" customHeight="false" outlineLevel="0" collapsed="false">
      <c r="A69" s="4"/>
      <c r="B69" s="4"/>
      <c r="C69" s="4"/>
      <c r="D69" s="4"/>
      <c r="E69" s="4"/>
      <c r="F69" s="4"/>
      <c r="G69" s="4"/>
      <c r="H69" s="4"/>
    </row>
    <row r="70" customFormat="false" ht="15" hidden="false" customHeight="false" outlineLevel="0" collapsed="false">
      <c r="A70" s="4"/>
      <c r="B70" s="4"/>
      <c r="C70" s="4"/>
      <c r="D70" s="4"/>
      <c r="E70" s="4"/>
      <c r="F70" s="4"/>
      <c r="G70" s="4"/>
      <c r="H70" s="4"/>
    </row>
    <row r="71" customFormat="false" ht="15" hidden="false" customHeight="false" outlineLevel="0" collapsed="false">
      <c r="A71" s="4"/>
      <c r="B71" s="4"/>
      <c r="C71" s="4"/>
      <c r="D71" s="4"/>
      <c r="E71" s="4"/>
      <c r="F71" s="4"/>
      <c r="G71" s="4"/>
      <c r="H71" s="4"/>
    </row>
    <row r="72" customFormat="false" ht="15" hidden="false" customHeight="false" outlineLevel="0" collapsed="false">
      <c r="A72" s="4"/>
      <c r="B72" s="4"/>
      <c r="C72" s="4"/>
      <c r="D72" s="4"/>
      <c r="E72" s="4"/>
      <c r="F72" s="4"/>
      <c r="G72" s="4"/>
      <c r="H72" s="4"/>
    </row>
    <row r="73" customFormat="false" ht="15" hidden="false" customHeight="false" outlineLevel="0" collapsed="false">
      <c r="A73" s="4"/>
      <c r="B73" s="4"/>
      <c r="C73" s="4"/>
      <c r="D73" s="4"/>
      <c r="E73" s="4"/>
      <c r="F73" s="4"/>
      <c r="G73" s="4"/>
      <c r="H73" s="4"/>
    </row>
    <row r="74" customFormat="false" ht="15" hidden="false" customHeight="false" outlineLevel="0" collapsed="false">
      <c r="A74" s="4"/>
      <c r="B74" s="4"/>
      <c r="C74" s="4"/>
      <c r="D74" s="4"/>
      <c r="E74" s="4"/>
      <c r="F74" s="4"/>
      <c r="G74" s="4"/>
      <c r="H74" s="4"/>
    </row>
    <row r="75" customFormat="false" ht="15" hidden="false" customHeight="false" outlineLevel="0" collapsed="false">
      <c r="A75" s="4"/>
      <c r="B75" s="4"/>
      <c r="C75" s="4"/>
      <c r="D75" s="4"/>
      <c r="E75" s="4"/>
      <c r="F75" s="4"/>
      <c r="G75" s="4"/>
      <c r="H75" s="4"/>
    </row>
    <row r="76" customFormat="false" ht="15" hidden="false" customHeight="false" outlineLevel="0" collapsed="false">
      <c r="A76" s="4"/>
      <c r="B76" s="4"/>
      <c r="C76" s="4"/>
      <c r="D76" s="4"/>
      <c r="E76" s="4"/>
      <c r="F76" s="4"/>
      <c r="G76" s="4"/>
      <c r="H76" s="4"/>
    </row>
    <row r="77" customFormat="false" ht="15" hidden="false" customHeight="false" outlineLevel="0" collapsed="false">
      <c r="A77" s="4"/>
      <c r="B77" s="4"/>
      <c r="C77" s="4"/>
      <c r="D77" s="4"/>
      <c r="E77" s="4"/>
      <c r="F77" s="4"/>
      <c r="G77" s="4"/>
      <c r="H77" s="4"/>
    </row>
    <row r="78" customFormat="false" ht="15" hidden="false" customHeight="false" outlineLevel="0" collapsed="false">
      <c r="A78" s="4"/>
      <c r="B78" s="4"/>
      <c r="C78" s="4"/>
      <c r="D78" s="4"/>
      <c r="E78" s="4"/>
      <c r="F78" s="4"/>
      <c r="G78" s="4"/>
      <c r="H78" s="4"/>
    </row>
    <row r="79" customFormat="false" ht="15" hidden="false" customHeight="false" outlineLevel="0" collapsed="false">
      <c r="A79" s="4"/>
      <c r="B79" s="4"/>
      <c r="C79" s="4"/>
      <c r="D79" s="4"/>
      <c r="E79" s="4"/>
      <c r="F79" s="4"/>
      <c r="G79" s="4"/>
      <c r="H79" s="4"/>
    </row>
    <row r="80" customFormat="false" ht="15" hidden="false" customHeight="false" outlineLevel="0" collapsed="false">
      <c r="A80" s="4"/>
      <c r="B80" s="4"/>
      <c r="C80" s="4"/>
      <c r="D80" s="4"/>
      <c r="E80" s="4"/>
      <c r="F80" s="4"/>
      <c r="G80" s="4"/>
      <c r="H80" s="4"/>
    </row>
    <row r="81" customFormat="false" ht="15" hidden="false" customHeight="false" outlineLevel="0" collapsed="false">
      <c r="A81" s="4"/>
      <c r="B81" s="4"/>
      <c r="C81" s="4"/>
      <c r="D81" s="4"/>
      <c r="E81" s="4"/>
      <c r="F81" s="4"/>
      <c r="G81" s="4"/>
      <c r="H81" s="4"/>
    </row>
    <row r="82" customFormat="false" ht="15" hidden="false" customHeight="false" outlineLevel="0" collapsed="false">
      <c r="A82" s="4"/>
      <c r="B82" s="4"/>
      <c r="C82" s="4"/>
      <c r="D82" s="4"/>
      <c r="E82" s="4"/>
      <c r="F82" s="4"/>
      <c r="G82" s="4"/>
      <c r="H82" s="4"/>
    </row>
    <row r="83" customFormat="false" ht="15" hidden="false" customHeight="false" outlineLevel="0" collapsed="false">
      <c r="A83" s="4"/>
      <c r="B83" s="4"/>
      <c r="C83" s="4"/>
      <c r="D83" s="4"/>
      <c r="E83" s="4"/>
      <c r="F83" s="4"/>
      <c r="G83" s="4"/>
      <c r="H83" s="4"/>
    </row>
    <row r="84" customFormat="false" ht="15" hidden="false" customHeight="false" outlineLevel="0" collapsed="false">
      <c r="A84" s="4"/>
      <c r="B84" s="4"/>
      <c r="C84" s="4"/>
      <c r="D84" s="4"/>
      <c r="E84" s="4"/>
      <c r="F84" s="4"/>
      <c r="G84" s="4"/>
      <c r="H84" s="4"/>
    </row>
    <row r="85" customFormat="false" ht="15" hidden="false" customHeight="false" outlineLevel="0" collapsed="false">
      <c r="A85" s="4"/>
      <c r="B85" s="4"/>
      <c r="C85" s="4"/>
      <c r="D85" s="4"/>
      <c r="E85" s="4"/>
      <c r="F85" s="4"/>
      <c r="G85" s="4"/>
      <c r="H85" s="4"/>
    </row>
    <row r="86" customFormat="false" ht="15" hidden="false" customHeight="false" outlineLevel="0" collapsed="false">
      <c r="A86" s="4"/>
      <c r="B86" s="4"/>
      <c r="C86" s="4"/>
      <c r="D86" s="4"/>
      <c r="E86" s="4"/>
      <c r="F86" s="4"/>
      <c r="G86" s="4"/>
      <c r="H86" s="4"/>
    </row>
    <row r="87" customFormat="false" ht="15" hidden="false" customHeight="false" outlineLevel="0" collapsed="false">
      <c r="A87" s="4"/>
      <c r="B87" s="4"/>
      <c r="C87" s="4"/>
      <c r="D87" s="4"/>
      <c r="E87" s="4"/>
      <c r="F87" s="4"/>
      <c r="G87" s="4"/>
      <c r="H87" s="4"/>
    </row>
    <row r="88" customFormat="false" ht="15" hidden="false" customHeight="false" outlineLevel="0" collapsed="false">
      <c r="A88" s="4"/>
      <c r="B88" s="4"/>
      <c r="C88" s="4"/>
      <c r="D88" s="4"/>
      <c r="E88" s="4"/>
      <c r="F88" s="4"/>
      <c r="G88" s="4"/>
      <c r="H88" s="4"/>
    </row>
    <row r="89" customFormat="false" ht="15" hidden="false" customHeight="false" outlineLevel="0" collapsed="false">
      <c r="A89" s="4"/>
      <c r="B89" s="4"/>
      <c r="C89" s="4"/>
      <c r="D89" s="4"/>
      <c r="E89" s="4"/>
      <c r="F89" s="4"/>
      <c r="G89" s="4"/>
      <c r="H89" s="4"/>
    </row>
    <row r="90" customFormat="false" ht="15" hidden="false" customHeight="false" outlineLevel="0" collapsed="false">
      <c r="A90" s="4"/>
      <c r="B90" s="4"/>
      <c r="C90" s="4"/>
      <c r="D90" s="4"/>
      <c r="E90" s="4"/>
      <c r="F90" s="4"/>
      <c r="G90" s="4"/>
      <c r="H90" s="4"/>
    </row>
    <row r="91" customFormat="false" ht="15" hidden="false" customHeight="false" outlineLevel="0" collapsed="false">
      <c r="A91" s="4"/>
      <c r="B91" s="4"/>
      <c r="C91" s="4"/>
      <c r="D91" s="4"/>
      <c r="E91" s="4"/>
      <c r="F91" s="4"/>
      <c r="G91" s="4"/>
      <c r="H91" s="4"/>
    </row>
    <row r="92" customFormat="false" ht="15" hidden="false" customHeight="false" outlineLevel="0" collapsed="false">
      <c r="A92" s="4"/>
      <c r="B92" s="4"/>
      <c r="C92" s="4"/>
      <c r="D92" s="4"/>
      <c r="E92" s="4"/>
      <c r="F92" s="4"/>
      <c r="G92" s="4"/>
      <c r="H92" s="4"/>
    </row>
    <row r="93" customFormat="false" ht="15" hidden="false" customHeight="false" outlineLevel="0" collapsed="false">
      <c r="A93" s="4"/>
      <c r="B93" s="4"/>
      <c r="C93" s="4"/>
      <c r="D93" s="4"/>
      <c r="E93" s="4"/>
      <c r="F93" s="4"/>
      <c r="G93" s="4"/>
      <c r="H93" s="4"/>
    </row>
    <row r="94" customFormat="false" ht="15" hidden="false" customHeight="false" outlineLevel="0" collapsed="false">
      <c r="A94" s="4"/>
      <c r="B94" s="4"/>
      <c r="C94" s="4"/>
      <c r="D94" s="4"/>
      <c r="E94" s="4"/>
      <c r="F94" s="4"/>
      <c r="G94" s="4"/>
      <c r="H94" s="4"/>
    </row>
    <row r="95" customFormat="false" ht="15" hidden="false" customHeight="false" outlineLevel="0" collapsed="false">
      <c r="A95" s="4"/>
      <c r="B95" s="4"/>
      <c r="C95" s="4"/>
      <c r="D95" s="4"/>
      <c r="E95" s="4"/>
      <c r="F95" s="4"/>
      <c r="G95" s="4"/>
      <c r="H95" s="4"/>
    </row>
    <row r="96" customFormat="false" ht="15" hidden="false" customHeight="false" outlineLevel="0" collapsed="false">
      <c r="A96" s="4"/>
      <c r="B96" s="4"/>
      <c r="C96" s="4"/>
      <c r="D96" s="4"/>
      <c r="E96" s="4"/>
      <c r="F96" s="4"/>
      <c r="G96" s="4"/>
      <c r="H96" s="4"/>
    </row>
    <row r="97" customFormat="false" ht="15" hidden="false" customHeight="false" outlineLevel="0" collapsed="false">
      <c r="A97" s="4"/>
      <c r="B97" s="4"/>
      <c r="C97" s="4"/>
      <c r="D97" s="4"/>
      <c r="E97" s="4"/>
      <c r="F97" s="4"/>
      <c r="G97" s="4"/>
      <c r="H97" s="4"/>
    </row>
    <row r="98" customFormat="false" ht="15" hidden="false" customHeight="false" outlineLevel="0" collapsed="false">
      <c r="A98" s="4"/>
      <c r="B98" s="4"/>
      <c r="C98" s="4"/>
      <c r="D98" s="4"/>
      <c r="E98" s="4"/>
      <c r="F98" s="4"/>
      <c r="G98" s="4"/>
      <c r="H98" s="4"/>
    </row>
    <row r="99" customFormat="false" ht="15" hidden="false" customHeight="false" outlineLevel="0" collapsed="false">
      <c r="A99" s="4"/>
      <c r="B99" s="4"/>
      <c r="C99" s="4"/>
      <c r="D99" s="4"/>
      <c r="E99" s="4"/>
      <c r="F99" s="4"/>
      <c r="G99" s="4"/>
      <c r="H99" s="4"/>
    </row>
    <row r="100" customFormat="false" ht="15" hidden="false" customHeight="true" outlineLevel="0" collapsed="false">
      <c r="A100" s="5" t="s">
        <v>121</v>
      </c>
      <c r="B100" s="4"/>
      <c r="C100" s="8" t="n">
        <f aca="false">D35</f>
        <v>271700</v>
      </c>
      <c r="D100" s="4"/>
      <c r="E100" s="4"/>
      <c r="F100" s="4"/>
      <c r="G100" s="4"/>
      <c r="H100" s="4"/>
    </row>
    <row r="101" customFormat="false" ht="15" hidden="false" customHeight="false" outlineLevel="0" collapsed="false">
      <c r="A101" s="4"/>
      <c r="B101" s="4"/>
      <c r="C101" s="4"/>
      <c r="D101" s="4"/>
      <c r="E101" s="4"/>
      <c r="F101" s="4"/>
      <c r="G101" s="4"/>
      <c r="H101" s="4"/>
    </row>
    <row r="102" customFormat="false" ht="15" hidden="false" customHeight="false" outlineLevel="0" collapsed="false">
      <c r="A102" s="4"/>
      <c r="B102" s="4"/>
      <c r="C102" s="4"/>
      <c r="D102" s="4"/>
      <c r="E102" s="4"/>
      <c r="F102" s="4"/>
      <c r="G102" s="4"/>
      <c r="H102" s="4"/>
    </row>
    <row r="103" customFormat="false" ht="15" hidden="false" customHeight="false" outlineLevel="0" collapsed="false">
      <c r="A103" s="4"/>
      <c r="B103" s="4"/>
      <c r="C103" s="4"/>
      <c r="D103" s="4"/>
      <c r="E103" s="4"/>
      <c r="F103" s="4"/>
      <c r="G103" s="4"/>
      <c r="H103" s="4"/>
    </row>
    <row r="104" customFormat="false" ht="15" hidden="false" customHeight="false" outlineLevel="0" collapsed="false">
      <c r="A104" s="4"/>
      <c r="B104" s="4"/>
      <c r="C104" s="4"/>
      <c r="D104" s="4"/>
      <c r="E104" s="4"/>
      <c r="F104" s="4"/>
      <c r="G104" s="4"/>
      <c r="H104" s="4"/>
    </row>
    <row r="105" customFormat="false" ht="15" hidden="false" customHeight="false" outlineLevel="0" collapsed="false">
      <c r="A105" s="4"/>
      <c r="B105" s="4"/>
      <c r="C105" s="4"/>
      <c r="D105" s="4"/>
      <c r="E105" s="4"/>
      <c r="F105" s="4"/>
      <c r="G105" s="4"/>
      <c r="H105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4"/>
      <c r="C1" s="4"/>
      <c r="D1" s="4"/>
      <c r="E1" s="4"/>
      <c r="F1" s="4"/>
      <c r="G1" s="4"/>
      <c r="H1" s="4"/>
    </row>
    <row r="2" customFormat="false" ht="15" hidden="false" customHeight="true" outlineLevel="0" collapsed="false">
      <c r="A2" s="5" t="s">
        <v>160</v>
      </c>
      <c r="B2" s="4"/>
      <c r="C2" s="4"/>
      <c r="D2" s="4"/>
      <c r="E2" s="4"/>
      <c r="F2" s="4"/>
      <c r="G2" s="4"/>
      <c r="H2" s="4"/>
    </row>
    <row r="3" customFormat="false" ht="15" hidden="false" customHeight="true" outlineLevel="0" collapsed="false">
      <c r="A3" s="5" t="s">
        <v>58</v>
      </c>
      <c r="B3" s="4"/>
      <c r="C3" s="4"/>
      <c r="D3" s="4"/>
      <c r="E3" s="4"/>
      <c r="F3" s="4"/>
      <c r="G3" s="4"/>
      <c r="H3" s="4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</row>
    <row r="5" customFormat="false" ht="15" hidden="false" customHeight="true" outlineLevel="0" collapsed="false">
      <c r="A5" s="6" t="s">
        <v>59</v>
      </c>
      <c r="B5" s="4"/>
      <c r="C5" s="4"/>
      <c r="D5" s="4"/>
      <c r="E5" s="4"/>
      <c r="F5" s="4"/>
      <c r="G5" s="4"/>
      <c r="H5" s="4"/>
    </row>
    <row r="6" customFormat="false" ht="15" hidden="false" customHeight="true" outlineLevel="0" collapsed="false">
      <c r="A6" s="7" t="s">
        <v>60</v>
      </c>
      <c r="B6" s="7" t="s">
        <v>61</v>
      </c>
      <c r="C6" s="7" t="s">
        <v>62</v>
      </c>
      <c r="D6" s="7" t="s">
        <v>63</v>
      </c>
      <c r="E6" s="7" t="s">
        <v>64</v>
      </c>
      <c r="F6" s="7" t="s">
        <v>65</v>
      </c>
      <c r="G6" s="4"/>
      <c r="H6" s="4"/>
    </row>
    <row r="7" customFormat="false" ht="15" hidden="false" customHeight="true" outlineLevel="0" collapsed="false">
      <c r="A7" s="12" t="s">
        <v>161</v>
      </c>
      <c r="B7" s="13" t="n">
        <v>0</v>
      </c>
      <c r="C7" s="13" t="n">
        <v>10</v>
      </c>
      <c r="D7" s="14" t="n">
        <f aca="false">B7+C7*Wyjaśnienia!$B$18/60</f>
        <v>25</v>
      </c>
      <c r="E7" s="15" t="n">
        <f aca="false">D7*Wyjaśnienia!$B$13</f>
        <v>5500</v>
      </c>
      <c r="F7" s="5" t="s">
        <v>162</v>
      </c>
      <c r="G7" s="4"/>
      <c r="H7" s="4"/>
    </row>
    <row r="8" customFormat="false" ht="15" hidden="false" customHeight="true" outlineLevel="0" collapsed="false">
      <c r="A8" s="12" t="s">
        <v>163</v>
      </c>
      <c r="B8" s="13" t="n">
        <v>40</v>
      </c>
      <c r="C8" s="13" t="n">
        <v>0</v>
      </c>
      <c r="D8" s="14" t="n">
        <f aca="false">B8+C8*Wyjaśnienia!$B$18/60</f>
        <v>40</v>
      </c>
      <c r="E8" s="15" t="n">
        <f aca="false">D8*Wyjaśnienia!$B$13</f>
        <v>8800</v>
      </c>
      <c r="F8" s="5" t="s">
        <v>164</v>
      </c>
      <c r="G8" s="4"/>
      <c r="H8" s="4"/>
    </row>
    <row r="9" customFormat="false" ht="15" hidden="false" customHeight="true" outlineLevel="0" collapsed="false">
      <c r="A9" s="12" t="s">
        <v>165</v>
      </c>
      <c r="B9" s="13" t="n">
        <v>30</v>
      </c>
      <c r="C9" s="13" t="n">
        <v>0</v>
      </c>
      <c r="D9" s="14" t="n">
        <f aca="false">B9+C9*Wyjaśnienia!$B$18/60</f>
        <v>30</v>
      </c>
      <c r="E9" s="15" t="n">
        <f aca="false">D9*Wyjaśnienia!$B$13</f>
        <v>6600</v>
      </c>
      <c r="F9" s="5" t="s">
        <v>166</v>
      </c>
      <c r="G9" s="4"/>
      <c r="H9" s="4"/>
    </row>
    <row r="10" customFormat="false" ht="15" hidden="false" customHeight="true" outlineLevel="0" collapsed="false">
      <c r="A10" s="12" t="s">
        <v>167</v>
      </c>
      <c r="B10" s="13" t="n">
        <v>20</v>
      </c>
      <c r="C10" s="13" t="n">
        <v>0</v>
      </c>
      <c r="D10" s="14" t="n">
        <f aca="false">B10+C10*Wyjaśnienia!$B$18/60</f>
        <v>20</v>
      </c>
      <c r="E10" s="15" t="n">
        <f aca="false">D10*Wyjaśnienia!$B$13</f>
        <v>4400</v>
      </c>
      <c r="F10" s="5" t="s">
        <v>168</v>
      </c>
      <c r="G10" s="4"/>
      <c r="H10" s="4"/>
    </row>
    <row r="11" customFormat="false" ht="15" hidden="false" customHeight="true" outlineLevel="0" collapsed="false">
      <c r="A11" s="12" t="s">
        <v>169</v>
      </c>
      <c r="B11" s="13" t="n">
        <v>50</v>
      </c>
      <c r="C11" s="13" t="n">
        <v>0</v>
      </c>
      <c r="D11" s="14" t="n">
        <f aca="false">B11+C11*Wyjaśnienia!$B$18/60</f>
        <v>50</v>
      </c>
      <c r="E11" s="15" t="n">
        <f aca="false">D11*Wyjaśnienia!$B$13</f>
        <v>11000</v>
      </c>
      <c r="F11" s="5" t="s">
        <v>170</v>
      </c>
      <c r="G11" s="4"/>
      <c r="H11" s="4"/>
    </row>
    <row r="12" customFormat="false" ht="15" hidden="false" customHeight="true" outlineLevel="0" collapsed="false">
      <c r="A12" s="7" t="s">
        <v>88</v>
      </c>
      <c r="B12" s="4"/>
      <c r="C12" s="4"/>
      <c r="D12" s="16" t="n">
        <f aca="false">SUM(D7:D11)</f>
        <v>165</v>
      </c>
      <c r="E12" s="9" t="n">
        <f aca="false">SUM(E7:E11)</f>
        <v>36300</v>
      </c>
      <c r="F12" s="4"/>
      <c r="G12" s="4"/>
      <c r="H12" s="4"/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  <c r="G13" s="4"/>
      <c r="H13" s="4"/>
    </row>
    <row r="14" customFormat="false" ht="15" hidden="false" customHeight="true" outlineLevel="0" collapsed="false">
      <c r="A14" s="6" t="s">
        <v>89</v>
      </c>
      <c r="B14" s="4"/>
      <c r="C14" s="4"/>
      <c r="D14" s="4"/>
      <c r="E14" s="4"/>
      <c r="F14" s="4"/>
      <c r="G14" s="4"/>
      <c r="H14" s="4"/>
    </row>
    <row r="15" customFormat="false" ht="15" hidden="false" customHeight="true" outlineLevel="0" collapsed="false">
      <c r="A15" s="7" t="s">
        <v>60</v>
      </c>
      <c r="B15" s="7" t="s">
        <v>90</v>
      </c>
      <c r="C15" s="7" t="s">
        <v>91</v>
      </c>
      <c r="D15" s="7" t="s">
        <v>64</v>
      </c>
      <c r="E15" s="7" t="s">
        <v>65</v>
      </c>
      <c r="F15" s="4"/>
      <c r="G15" s="4"/>
      <c r="H15" s="4"/>
    </row>
    <row r="16" customFormat="false" ht="15" hidden="false" customHeight="true" outlineLevel="0" collapsed="false">
      <c r="A16" s="12" t="s">
        <v>171</v>
      </c>
      <c r="B16" s="15" t="n">
        <f aca="false">Wyjaśnienia!$B$19</f>
        <v>35000</v>
      </c>
      <c r="C16" s="13" t="n">
        <v>1</v>
      </c>
      <c r="D16" s="15" t="n">
        <f aca="false">B16*C16</f>
        <v>35000</v>
      </c>
      <c r="E16" s="5" t="s">
        <v>172</v>
      </c>
      <c r="F16" s="4"/>
      <c r="G16" s="4"/>
      <c r="H16" s="4"/>
    </row>
    <row r="17" customFormat="false" ht="15" hidden="false" customHeight="true" outlineLevel="0" collapsed="false">
      <c r="A17" s="12" t="s">
        <v>173</v>
      </c>
      <c r="B17" s="15" t="n">
        <f aca="false">Wyjaśnienia!$B$20</f>
        <v>4000</v>
      </c>
      <c r="C17" s="13" t="n">
        <v>1</v>
      </c>
      <c r="D17" s="15" t="n">
        <f aca="false">B17*C17</f>
        <v>4000</v>
      </c>
      <c r="E17" s="5" t="s">
        <v>174</v>
      </c>
      <c r="F17" s="4"/>
      <c r="G17" s="4"/>
      <c r="H17" s="4"/>
    </row>
    <row r="18" customFormat="false" ht="15" hidden="false" customHeight="true" outlineLevel="0" collapsed="false">
      <c r="A18" s="12" t="s">
        <v>175</v>
      </c>
      <c r="B18" s="15" t="n">
        <f aca="false">Wyjaśnienia!$B$21</f>
        <v>7500</v>
      </c>
      <c r="C18" s="14" t="n">
        <f aca="false">Wyjaśnienia!$B$22</f>
        <v>10</v>
      </c>
      <c r="D18" s="15" t="n">
        <f aca="false">B18*C18</f>
        <v>75000</v>
      </c>
      <c r="E18" s="5" t="s">
        <v>176</v>
      </c>
      <c r="F18" s="4"/>
      <c r="G18" s="4"/>
      <c r="H18" s="4"/>
    </row>
    <row r="19" customFormat="false" ht="15" hidden="false" customHeight="true" outlineLevel="0" collapsed="false">
      <c r="A19" s="12" t="s">
        <v>35</v>
      </c>
      <c r="B19" s="15" t="n">
        <f aca="false">Wyjaśnienia!$B$23</f>
        <v>80000</v>
      </c>
      <c r="C19" s="13" t="n">
        <v>1</v>
      </c>
      <c r="D19" s="15" t="n">
        <f aca="false">B19*C19</f>
        <v>80000</v>
      </c>
      <c r="E19" s="5" t="s">
        <v>177</v>
      </c>
      <c r="F19" s="4"/>
      <c r="G19" s="4"/>
      <c r="H19" s="4"/>
    </row>
    <row r="20" customFormat="false" ht="15" hidden="false" customHeight="true" outlineLevel="0" collapsed="false">
      <c r="A20" s="12" t="s">
        <v>37</v>
      </c>
      <c r="B20" s="15" t="n">
        <f aca="false">Wyjaśnienia!$B$24</f>
        <v>3000</v>
      </c>
      <c r="C20" s="13" t="n">
        <v>1</v>
      </c>
      <c r="D20" s="15" t="n">
        <f aca="false">B20*C20</f>
        <v>3000</v>
      </c>
      <c r="E20" s="5" t="s">
        <v>178</v>
      </c>
      <c r="F20" s="4"/>
      <c r="G20" s="4"/>
      <c r="H20" s="4"/>
    </row>
    <row r="21" customFormat="false" ht="15" hidden="false" customHeight="true" outlineLevel="0" collapsed="false">
      <c r="A21" s="12" t="s">
        <v>179</v>
      </c>
      <c r="B21" s="17" t="n">
        <v>0</v>
      </c>
      <c r="C21" s="13" t="n">
        <v>1</v>
      </c>
      <c r="D21" s="15" t="n">
        <f aca="false">B21*C21</f>
        <v>0</v>
      </c>
      <c r="E21" s="5" t="s">
        <v>180</v>
      </c>
      <c r="F21" s="4"/>
      <c r="G21" s="4"/>
      <c r="H21" s="4"/>
    </row>
    <row r="22" customFormat="false" ht="15" hidden="false" customHeight="true" outlineLevel="0" collapsed="false">
      <c r="A22" s="12" t="s">
        <v>181</v>
      </c>
      <c r="B22" s="17" t="n">
        <v>0</v>
      </c>
      <c r="C22" s="13" t="n">
        <v>1</v>
      </c>
      <c r="D22" s="15" t="n">
        <f aca="false">B22*C22</f>
        <v>0</v>
      </c>
      <c r="E22" s="5" t="s">
        <v>182</v>
      </c>
      <c r="F22" s="4"/>
      <c r="G22" s="4"/>
      <c r="H22" s="4"/>
    </row>
    <row r="23" customFormat="false" ht="15" hidden="false" customHeight="true" outlineLevel="0" collapsed="false">
      <c r="A23" s="7" t="s">
        <v>112</v>
      </c>
      <c r="B23" s="4"/>
      <c r="C23" s="4"/>
      <c r="D23" s="9" t="n">
        <f aca="false">SUM(D16:D22)</f>
        <v>197000</v>
      </c>
      <c r="E23" s="4"/>
      <c r="F23" s="4"/>
      <c r="G23" s="4"/>
      <c r="H23" s="4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  <c r="H24" s="4"/>
    </row>
    <row r="25" customFormat="false" ht="15" hidden="false" customHeight="true" outlineLevel="0" collapsed="false">
      <c r="A25" s="6" t="s">
        <v>113</v>
      </c>
      <c r="B25" s="4"/>
      <c r="C25" s="4"/>
      <c r="D25" s="4"/>
      <c r="E25" s="4"/>
      <c r="F25" s="4"/>
      <c r="G25" s="4"/>
      <c r="H25" s="4"/>
    </row>
    <row r="26" customFormat="false" ht="15" hidden="false" customHeight="true" outlineLevel="0" collapsed="false">
      <c r="A26" s="12" t="s">
        <v>114</v>
      </c>
      <c r="B26" s="4"/>
      <c r="C26" s="4"/>
      <c r="D26" s="15" t="n">
        <f aca="false">Wyjaśnienia!$B$19+Wyjaśnienia!$B$20</f>
        <v>39000</v>
      </c>
      <c r="E26" s="4"/>
      <c r="F26" s="4"/>
      <c r="G26" s="4"/>
      <c r="H26" s="4"/>
    </row>
    <row r="27" customFormat="false" ht="15" hidden="false" customHeight="true" outlineLevel="0" collapsed="false">
      <c r="A27" s="12" t="s">
        <v>115</v>
      </c>
      <c r="B27" s="4"/>
      <c r="C27" s="4"/>
      <c r="D27" s="8" t="n">
        <f aca="false">E12</f>
        <v>36300</v>
      </c>
      <c r="E27" s="4"/>
      <c r="F27" s="4"/>
      <c r="G27" s="4"/>
      <c r="H27" s="4"/>
    </row>
    <row r="28" customFormat="false" ht="15" hidden="false" customHeight="true" outlineLevel="0" collapsed="false">
      <c r="A28" s="12" t="s">
        <v>183</v>
      </c>
      <c r="B28" s="4"/>
      <c r="C28" s="4"/>
      <c r="D28" s="8" t="n">
        <f aca="false">D23-D26</f>
        <v>158000</v>
      </c>
      <c r="E28" s="4"/>
      <c r="F28" s="4"/>
      <c r="G28" s="4"/>
      <c r="H28" s="4"/>
    </row>
    <row r="29" customFormat="false" ht="15" hidden="false" customHeight="true" outlineLevel="0" collapsed="false">
      <c r="A29" s="12" t="s">
        <v>117</v>
      </c>
      <c r="B29" s="4"/>
      <c r="C29" s="4"/>
      <c r="D29" s="8" t="n">
        <f aca="false">(D27+D28)*Wyjaśnienia!$B$27</f>
        <v>23316</v>
      </c>
      <c r="E29" s="4"/>
      <c r="F29" s="4"/>
      <c r="G29" s="4"/>
      <c r="H29" s="4"/>
    </row>
    <row r="30" customFormat="false" ht="15" hidden="false" customHeight="true" outlineLevel="0" collapsed="false">
      <c r="A30" s="7" t="s">
        <v>118</v>
      </c>
      <c r="B30" s="4"/>
      <c r="C30" s="4"/>
      <c r="D30" s="9" t="n">
        <f aca="false">SUM(D26:D29)</f>
        <v>256616</v>
      </c>
      <c r="E30" s="4"/>
      <c r="F30" s="4"/>
      <c r="G30" s="4"/>
      <c r="H30" s="4"/>
    </row>
    <row r="31" customFormat="false" ht="15" hidden="false" customHeight="true" outlineLevel="0" collapsed="false">
      <c r="A31" s="12" t="s">
        <v>119</v>
      </c>
      <c r="B31" s="4"/>
      <c r="C31" s="4"/>
      <c r="D31" s="8" t="n">
        <f aca="false">D30*Wyjaśnienia!$B$28</f>
        <v>59021.68</v>
      </c>
      <c r="E31" s="4"/>
      <c r="F31" s="4"/>
      <c r="G31" s="4"/>
      <c r="H31" s="4"/>
    </row>
    <row r="32" customFormat="false" ht="15" hidden="false" customHeight="true" outlineLevel="0" collapsed="false">
      <c r="A32" s="7" t="s">
        <v>120</v>
      </c>
      <c r="B32" s="4"/>
      <c r="C32" s="4"/>
      <c r="D32" s="18" t="n">
        <f aca="false">D30+D31</f>
        <v>315637.68</v>
      </c>
      <c r="E32" s="4"/>
      <c r="F32" s="4"/>
      <c r="G32" s="4"/>
      <c r="H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</row>
    <row r="51" customFormat="false" ht="15" hidden="false" customHeight="false" outlineLevel="0" collapsed="false">
      <c r="A51" s="4"/>
      <c r="B51" s="4"/>
      <c r="C51" s="4"/>
      <c r="D51" s="4"/>
      <c r="E51" s="4"/>
      <c r="F51" s="4"/>
      <c r="G51" s="4"/>
      <c r="H51" s="4"/>
    </row>
    <row r="52" customFormat="false" ht="15" hidden="false" customHeight="false" outlineLevel="0" collapsed="false">
      <c r="A52" s="4"/>
      <c r="B52" s="4"/>
      <c r="C52" s="4"/>
      <c r="D52" s="4"/>
      <c r="E52" s="4"/>
      <c r="F52" s="4"/>
      <c r="G52" s="4"/>
      <c r="H52" s="4"/>
    </row>
    <row r="53" customFormat="false" ht="15" hidden="false" customHeight="false" outlineLevel="0" collapsed="false">
      <c r="A53" s="4"/>
      <c r="B53" s="4"/>
      <c r="C53" s="4"/>
      <c r="D53" s="4"/>
      <c r="E53" s="4"/>
      <c r="F53" s="4"/>
      <c r="G53" s="4"/>
      <c r="H53" s="4"/>
    </row>
    <row r="54" customFormat="false" ht="15" hidden="false" customHeight="false" outlineLevel="0" collapsed="false">
      <c r="A54" s="4"/>
      <c r="B54" s="4"/>
      <c r="C54" s="4"/>
      <c r="D54" s="4"/>
      <c r="E54" s="4"/>
      <c r="F54" s="4"/>
      <c r="G54" s="4"/>
      <c r="H54" s="4"/>
    </row>
    <row r="55" customFormat="false" ht="15" hidden="false" customHeight="false" outlineLevel="0" collapsed="false">
      <c r="A55" s="4"/>
      <c r="B55" s="4"/>
      <c r="C55" s="4"/>
      <c r="D55" s="4"/>
      <c r="E55" s="4"/>
      <c r="F55" s="4"/>
      <c r="G55" s="4"/>
      <c r="H55" s="4"/>
    </row>
    <row r="56" customFormat="false" ht="15" hidden="false" customHeight="false" outlineLevel="0" collapsed="false">
      <c r="A56" s="4"/>
      <c r="B56" s="4"/>
      <c r="C56" s="4"/>
      <c r="D56" s="4"/>
      <c r="E56" s="4"/>
      <c r="F56" s="4"/>
      <c r="G56" s="4"/>
      <c r="H56" s="4"/>
    </row>
    <row r="57" customFormat="false" ht="15" hidden="false" customHeight="false" outlineLevel="0" collapsed="false">
      <c r="A57" s="4"/>
      <c r="B57" s="4"/>
      <c r="C57" s="4"/>
      <c r="D57" s="4"/>
      <c r="E57" s="4"/>
      <c r="F57" s="4"/>
      <c r="G57" s="4"/>
      <c r="H57" s="4"/>
    </row>
    <row r="58" customFormat="false" ht="15" hidden="false" customHeight="false" outlineLevel="0" collapsed="false">
      <c r="A58" s="4"/>
      <c r="B58" s="4"/>
      <c r="C58" s="4"/>
      <c r="D58" s="4"/>
      <c r="E58" s="4"/>
      <c r="F58" s="4"/>
      <c r="G58" s="4"/>
      <c r="H58" s="4"/>
    </row>
    <row r="59" customFormat="false" ht="15" hidden="false" customHeight="false" outlineLevel="0" collapsed="false">
      <c r="A59" s="4"/>
      <c r="B59" s="4"/>
      <c r="C59" s="4"/>
      <c r="D59" s="4"/>
      <c r="E59" s="4"/>
      <c r="F59" s="4"/>
      <c r="G59" s="4"/>
      <c r="H59" s="4"/>
    </row>
    <row r="60" customFormat="false" ht="15" hidden="false" customHeight="false" outlineLevel="0" collapsed="false">
      <c r="A60" s="4"/>
      <c r="B60" s="4"/>
      <c r="C60" s="4"/>
      <c r="D60" s="4"/>
      <c r="E60" s="4"/>
      <c r="F60" s="4"/>
      <c r="G60" s="4"/>
      <c r="H60" s="4"/>
    </row>
    <row r="61" customFormat="false" ht="15" hidden="false" customHeight="false" outlineLevel="0" collapsed="false">
      <c r="A61" s="4"/>
      <c r="B61" s="4"/>
      <c r="C61" s="4"/>
      <c r="D61" s="4"/>
      <c r="E61" s="4"/>
      <c r="F61" s="4"/>
      <c r="G61" s="4"/>
      <c r="H61" s="4"/>
    </row>
    <row r="62" customFormat="false" ht="15" hidden="false" customHeight="false" outlineLevel="0" collapsed="false">
      <c r="A62" s="4"/>
      <c r="B62" s="4"/>
      <c r="C62" s="4"/>
      <c r="D62" s="4"/>
      <c r="E62" s="4"/>
      <c r="F62" s="4"/>
      <c r="G62" s="4"/>
      <c r="H62" s="4"/>
    </row>
    <row r="63" customFormat="false" ht="15" hidden="false" customHeight="false" outlineLevel="0" collapsed="false">
      <c r="A63" s="4"/>
      <c r="B63" s="4"/>
      <c r="C63" s="4"/>
      <c r="D63" s="4"/>
      <c r="E63" s="4"/>
      <c r="F63" s="4"/>
      <c r="G63" s="4"/>
      <c r="H63" s="4"/>
    </row>
    <row r="64" customFormat="false" ht="15" hidden="false" customHeight="false" outlineLevel="0" collapsed="false">
      <c r="A64" s="4"/>
      <c r="B64" s="4"/>
      <c r="C64" s="4"/>
      <c r="D64" s="4"/>
      <c r="E64" s="4"/>
      <c r="F64" s="4"/>
      <c r="G64" s="4"/>
      <c r="H64" s="4"/>
    </row>
    <row r="65" customFormat="false" ht="15" hidden="false" customHeight="false" outlineLevel="0" collapsed="false">
      <c r="A65" s="4"/>
      <c r="B65" s="4"/>
      <c r="C65" s="4"/>
      <c r="D65" s="4"/>
      <c r="E65" s="4"/>
      <c r="F65" s="4"/>
      <c r="G65" s="4"/>
      <c r="H65" s="4"/>
    </row>
    <row r="66" customFormat="false" ht="15" hidden="false" customHeight="false" outlineLevel="0" collapsed="false">
      <c r="A66" s="4"/>
      <c r="B66" s="4"/>
      <c r="C66" s="4"/>
      <c r="D66" s="4"/>
      <c r="E66" s="4"/>
      <c r="F66" s="4"/>
      <c r="G66" s="4"/>
      <c r="H66" s="4"/>
    </row>
    <row r="67" customFormat="false" ht="15" hidden="false" customHeight="false" outlineLevel="0" collapsed="false">
      <c r="A67" s="4"/>
      <c r="B67" s="4"/>
      <c r="C67" s="4"/>
      <c r="D67" s="4"/>
      <c r="E67" s="4"/>
      <c r="F67" s="4"/>
      <c r="G67" s="4"/>
      <c r="H67" s="4"/>
    </row>
    <row r="68" customFormat="false" ht="15" hidden="false" customHeight="false" outlineLevel="0" collapsed="false">
      <c r="A68" s="4"/>
      <c r="B68" s="4"/>
      <c r="C68" s="4"/>
      <c r="D68" s="4"/>
      <c r="E68" s="4"/>
      <c r="F68" s="4"/>
      <c r="G68" s="4"/>
      <c r="H68" s="4"/>
    </row>
    <row r="69" customFormat="false" ht="15" hidden="false" customHeight="false" outlineLevel="0" collapsed="false">
      <c r="A69" s="4"/>
      <c r="B69" s="4"/>
      <c r="C69" s="4"/>
      <c r="D69" s="4"/>
      <c r="E69" s="4"/>
      <c r="F69" s="4"/>
      <c r="G69" s="4"/>
      <c r="H69" s="4"/>
    </row>
    <row r="70" customFormat="false" ht="15" hidden="false" customHeight="false" outlineLevel="0" collapsed="false">
      <c r="A70" s="4"/>
      <c r="B70" s="4"/>
      <c r="C70" s="4"/>
      <c r="D70" s="4"/>
      <c r="E70" s="4"/>
      <c r="F70" s="4"/>
      <c r="G70" s="4"/>
      <c r="H70" s="4"/>
    </row>
    <row r="71" customFormat="false" ht="15" hidden="false" customHeight="false" outlineLevel="0" collapsed="false">
      <c r="A71" s="4"/>
      <c r="B71" s="4"/>
      <c r="C71" s="4"/>
      <c r="D71" s="4"/>
      <c r="E71" s="4"/>
      <c r="F71" s="4"/>
      <c r="G71" s="4"/>
      <c r="H71" s="4"/>
    </row>
    <row r="72" customFormat="false" ht="15" hidden="false" customHeight="false" outlineLevel="0" collapsed="false">
      <c r="A72" s="4"/>
      <c r="B72" s="4"/>
      <c r="C72" s="4"/>
      <c r="D72" s="4"/>
      <c r="E72" s="4"/>
      <c r="F72" s="4"/>
      <c r="G72" s="4"/>
      <c r="H72" s="4"/>
    </row>
    <row r="73" customFormat="false" ht="15" hidden="false" customHeight="false" outlineLevel="0" collapsed="false">
      <c r="A73" s="4"/>
      <c r="B73" s="4"/>
      <c r="C73" s="4"/>
      <c r="D73" s="4"/>
      <c r="E73" s="4"/>
      <c r="F73" s="4"/>
      <c r="G73" s="4"/>
      <c r="H73" s="4"/>
    </row>
    <row r="74" customFormat="false" ht="15" hidden="false" customHeight="false" outlineLevel="0" collapsed="false">
      <c r="A74" s="4"/>
      <c r="B74" s="4"/>
      <c r="C74" s="4"/>
      <c r="D74" s="4"/>
      <c r="E74" s="4"/>
      <c r="F74" s="4"/>
      <c r="G74" s="4"/>
      <c r="H74" s="4"/>
    </row>
    <row r="75" customFormat="false" ht="15" hidden="false" customHeight="false" outlineLevel="0" collapsed="false">
      <c r="A75" s="4"/>
      <c r="B75" s="4"/>
      <c r="C75" s="4"/>
      <c r="D75" s="4"/>
      <c r="E75" s="4"/>
      <c r="F75" s="4"/>
      <c r="G75" s="4"/>
      <c r="H75" s="4"/>
    </row>
    <row r="76" customFormat="false" ht="15" hidden="false" customHeight="false" outlineLevel="0" collapsed="false">
      <c r="A76" s="4"/>
      <c r="B76" s="4"/>
      <c r="C76" s="4"/>
      <c r="D76" s="4"/>
      <c r="E76" s="4"/>
      <c r="F76" s="4"/>
      <c r="G76" s="4"/>
      <c r="H76" s="4"/>
    </row>
    <row r="77" customFormat="false" ht="15" hidden="false" customHeight="false" outlineLevel="0" collapsed="false">
      <c r="A77" s="4"/>
      <c r="B77" s="4"/>
      <c r="C77" s="4"/>
      <c r="D77" s="4"/>
      <c r="E77" s="4"/>
      <c r="F77" s="4"/>
      <c r="G77" s="4"/>
      <c r="H77" s="4"/>
    </row>
    <row r="78" customFormat="false" ht="15" hidden="false" customHeight="false" outlineLevel="0" collapsed="false">
      <c r="A78" s="4"/>
      <c r="B78" s="4"/>
      <c r="C78" s="4"/>
      <c r="D78" s="4"/>
      <c r="E78" s="4"/>
      <c r="F78" s="4"/>
      <c r="G78" s="4"/>
      <c r="H78" s="4"/>
    </row>
    <row r="79" customFormat="false" ht="15" hidden="false" customHeight="false" outlineLevel="0" collapsed="false">
      <c r="A79" s="4"/>
      <c r="B79" s="4"/>
      <c r="C79" s="4"/>
      <c r="D79" s="4"/>
      <c r="E79" s="4"/>
      <c r="F79" s="4"/>
      <c r="G79" s="4"/>
      <c r="H79" s="4"/>
    </row>
    <row r="80" customFormat="false" ht="15" hidden="false" customHeight="false" outlineLevel="0" collapsed="false">
      <c r="A80" s="4"/>
      <c r="B80" s="4"/>
      <c r="C80" s="4"/>
      <c r="D80" s="4"/>
      <c r="E80" s="4"/>
      <c r="F80" s="4"/>
      <c r="G80" s="4"/>
      <c r="H80" s="4"/>
    </row>
    <row r="81" customFormat="false" ht="15" hidden="false" customHeight="false" outlineLevel="0" collapsed="false">
      <c r="A81" s="4"/>
      <c r="B81" s="4"/>
      <c r="C81" s="4"/>
      <c r="D81" s="4"/>
      <c r="E81" s="4"/>
      <c r="F81" s="4"/>
      <c r="G81" s="4"/>
      <c r="H81" s="4"/>
    </row>
    <row r="82" customFormat="false" ht="15" hidden="false" customHeight="false" outlineLevel="0" collapsed="false">
      <c r="A82" s="4"/>
      <c r="B82" s="4"/>
      <c r="C82" s="4"/>
      <c r="D82" s="4"/>
      <c r="E82" s="4"/>
      <c r="F82" s="4"/>
      <c r="G82" s="4"/>
      <c r="H82" s="4"/>
    </row>
    <row r="83" customFormat="false" ht="15" hidden="false" customHeight="false" outlineLevel="0" collapsed="false">
      <c r="A83" s="4"/>
      <c r="B83" s="4"/>
      <c r="C83" s="4"/>
      <c r="D83" s="4"/>
      <c r="E83" s="4"/>
      <c r="F83" s="4"/>
      <c r="G83" s="4"/>
      <c r="H83" s="4"/>
    </row>
    <row r="84" customFormat="false" ht="15" hidden="false" customHeight="false" outlineLevel="0" collapsed="false">
      <c r="A84" s="4"/>
      <c r="B84" s="4"/>
      <c r="C84" s="4"/>
      <c r="D84" s="4"/>
      <c r="E84" s="4"/>
      <c r="F84" s="4"/>
      <c r="G84" s="4"/>
      <c r="H84" s="4"/>
    </row>
    <row r="85" customFormat="false" ht="15" hidden="false" customHeight="false" outlineLevel="0" collapsed="false">
      <c r="A85" s="4"/>
      <c r="B85" s="4"/>
      <c r="C85" s="4"/>
      <c r="D85" s="4"/>
      <c r="E85" s="4"/>
      <c r="F85" s="4"/>
      <c r="G85" s="4"/>
      <c r="H85" s="4"/>
    </row>
    <row r="86" customFormat="false" ht="15" hidden="false" customHeight="false" outlineLevel="0" collapsed="false">
      <c r="A86" s="4"/>
      <c r="B86" s="4"/>
      <c r="C86" s="4"/>
      <c r="D86" s="4"/>
      <c r="E86" s="4"/>
      <c r="F86" s="4"/>
      <c r="G86" s="4"/>
      <c r="H86" s="4"/>
    </row>
    <row r="87" customFormat="false" ht="15" hidden="false" customHeight="false" outlineLevel="0" collapsed="false">
      <c r="A87" s="4"/>
      <c r="B87" s="4"/>
      <c r="C87" s="4"/>
      <c r="D87" s="4"/>
      <c r="E87" s="4"/>
      <c r="F87" s="4"/>
      <c r="G87" s="4"/>
      <c r="H87" s="4"/>
    </row>
    <row r="88" customFormat="false" ht="15" hidden="false" customHeight="false" outlineLevel="0" collapsed="false">
      <c r="A88" s="4"/>
      <c r="B88" s="4"/>
      <c r="C88" s="4"/>
      <c r="D88" s="4"/>
      <c r="E88" s="4"/>
      <c r="F88" s="4"/>
      <c r="G88" s="4"/>
      <c r="H88" s="4"/>
    </row>
    <row r="89" customFormat="false" ht="15" hidden="false" customHeight="false" outlineLevel="0" collapsed="false">
      <c r="A89" s="4"/>
      <c r="B89" s="4"/>
      <c r="C89" s="4"/>
      <c r="D89" s="4"/>
      <c r="E89" s="4"/>
      <c r="F89" s="4"/>
      <c r="G89" s="4"/>
      <c r="H89" s="4"/>
    </row>
    <row r="90" customFormat="false" ht="15" hidden="false" customHeight="false" outlineLevel="0" collapsed="false">
      <c r="A90" s="4"/>
      <c r="B90" s="4"/>
      <c r="C90" s="4"/>
      <c r="D90" s="4"/>
      <c r="E90" s="4"/>
      <c r="F90" s="4"/>
      <c r="G90" s="4"/>
      <c r="H90" s="4"/>
    </row>
    <row r="91" customFormat="false" ht="15" hidden="false" customHeight="false" outlineLevel="0" collapsed="false">
      <c r="A91" s="4"/>
      <c r="B91" s="4"/>
      <c r="C91" s="4"/>
      <c r="D91" s="4"/>
      <c r="E91" s="4"/>
      <c r="F91" s="4"/>
      <c r="G91" s="4"/>
      <c r="H91" s="4"/>
    </row>
    <row r="92" customFormat="false" ht="15" hidden="false" customHeight="false" outlineLevel="0" collapsed="false">
      <c r="A92" s="4"/>
      <c r="B92" s="4"/>
      <c r="C92" s="4"/>
      <c r="D92" s="4"/>
      <c r="E92" s="4"/>
      <c r="F92" s="4"/>
      <c r="G92" s="4"/>
      <c r="H92" s="4"/>
    </row>
    <row r="93" customFormat="false" ht="15" hidden="false" customHeight="false" outlineLevel="0" collapsed="false">
      <c r="A93" s="4"/>
      <c r="B93" s="4"/>
      <c r="C93" s="4"/>
      <c r="D93" s="4"/>
      <c r="E93" s="4"/>
      <c r="F93" s="4"/>
      <c r="G93" s="4"/>
      <c r="H93" s="4"/>
    </row>
    <row r="94" customFormat="false" ht="15" hidden="false" customHeight="false" outlineLevel="0" collapsed="false">
      <c r="A94" s="4"/>
      <c r="B94" s="4"/>
      <c r="C94" s="4"/>
      <c r="D94" s="4"/>
      <c r="E94" s="4"/>
      <c r="F94" s="4"/>
      <c r="G94" s="4"/>
      <c r="H94" s="4"/>
    </row>
    <row r="95" customFormat="false" ht="15" hidden="false" customHeight="false" outlineLevel="0" collapsed="false">
      <c r="A95" s="4"/>
      <c r="B95" s="4"/>
      <c r="C95" s="4"/>
      <c r="D95" s="4"/>
      <c r="E95" s="4"/>
      <c r="F95" s="4"/>
      <c r="G95" s="4"/>
      <c r="H95" s="4"/>
    </row>
    <row r="96" customFormat="false" ht="15" hidden="false" customHeight="false" outlineLevel="0" collapsed="false">
      <c r="A96" s="4"/>
      <c r="B96" s="4"/>
      <c r="C96" s="4"/>
      <c r="D96" s="4"/>
      <c r="E96" s="4"/>
      <c r="F96" s="4"/>
      <c r="G96" s="4"/>
      <c r="H96" s="4"/>
    </row>
    <row r="97" customFormat="false" ht="15" hidden="false" customHeight="false" outlineLevel="0" collapsed="false">
      <c r="A97" s="4"/>
      <c r="B97" s="4"/>
      <c r="C97" s="4"/>
      <c r="D97" s="4"/>
      <c r="E97" s="4"/>
      <c r="F97" s="4"/>
      <c r="G97" s="4"/>
      <c r="H97" s="4"/>
    </row>
    <row r="98" customFormat="false" ht="15" hidden="false" customHeight="false" outlineLevel="0" collapsed="false">
      <c r="A98" s="4"/>
      <c r="B98" s="4"/>
      <c r="C98" s="4"/>
      <c r="D98" s="4"/>
      <c r="E98" s="4"/>
      <c r="F98" s="4"/>
      <c r="G98" s="4"/>
      <c r="H98" s="4"/>
    </row>
    <row r="99" customFormat="false" ht="15" hidden="false" customHeight="false" outlineLevel="0" collapsed="false">
      <c r="A99" s="4"/>
      <c r="B99" s="4"/>
      <c r="C99" s="4"/>
      <c r="D99" s="4"/>
      <c r="E99" s="4"/>
      <c r="F99" s="4"/>
      <c r="G99" s="4"/>
      <c r="H99" s="4"/>
    </row>
    <row r="100" customFormat="false" ht="15" hidden="false" customHeight="true" outlineLevel="0" collapsed="false">
      <c r="A100" s="5" t="s">
        <v>121</v>
      </c>
      <c r="B100" s="4"/>
      <c r="C100" s="8" t="n">
        <f aca="false">D30</f>
        <v>256616</v>
      </c>
      <c r="D100" s="4"/>
      <c r="E100" s="4"/>
      <c r="F100" s="4"/>
      <c r="G100" s="4"/>
      <c r="H100" s="4"/>
    </row>
    <row r="101" customFormat="false" ht="15" hidden="false" customHeight="false" outlineLevel="0" collapsed="false">
      <c r="A101" s="4"/>
      <c r="B101" s="4"/>
      <c r="C101" s="4"/>
      <c r="D101" s="4"/>
      <c r="E101" s="4"/>
      <c r="F101" s="4"/>
      <c r="G101" s="4"/>
      <c r="H101" s="4"/>
    </row>
    <row r="102" customFormat="false" ht="15" hidden="false" customHeight="false" outlineLevel="0" collapsed="false">
      <c r="A102" s="4"/>
      <c r="B102" s="4"/>
      <c r="C102" s="4"/>
      <c r="D102" s="4"/>
      <c r="E102" s="4"/>
      <c r="F102" s="4"/>
      <c r="G102" s="4"/>
      <c r="H102" s="4"/>
    </row>
    <row r="103" customFormat="false" ht="15" hidden="false" customHeight="false" outlineLevel="0" collapsed="false">
      <c r="A103" s="4"/>
      <c r="B103" s="4"/>
      <c r="C103" s="4"/>
      <c r="D103" s="4"/>
      <c r="E103" s="4"/>
      <c r="F103" s="4"/>
      <c r="G103" s="4"/>
      <c r="H103" s="4"/>
    </row>
    <row r="104" customFormat="false" ht="15" hidden="false" customHeight="false" outlineLevel="0" collapsed="false">
      <c r="A104" s="4"/>
      <c r="B104" s="4"/>
      <c r="C104" s="4"/>
      <c r="D104" s="4"/>
      <c r="E104" s="4"/>
      <c r="F104" s="4"/>
      <c r="G104" s="4"/>
      <c r="H104" s="4"/>
    </row>
    <row r="105" customFormat="false" ht="15" hidden="false" customHeight="false" outlineLevel="0" collapsed="false">
      <c r="A105" s="4"/>
      <c r="B105" s="4"/>
      <c r="C105" s="4"/>
      <c r="D105" s="4"/>
      <c r="E105" s="4"/>
      <c r="F105" s="4"/>
      <c r="G105" s="4"/>
      <c r="H105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2026-10-24T14:38:24Z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