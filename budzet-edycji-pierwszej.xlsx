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<sst xmlns="http://schemas.openxmlformats.org/spreadsheetml/2006/main" count="547" uniqueCount="385">
  <si>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</si>
  <si>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</si>
  <si>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</si>
  <si>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</si>
  <si>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</si>
  <si>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</si>
  <si>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</si>
  <si>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</si>
  <si>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</si>
  <si>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</si>
  <si>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</si>
  <si>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</si>
  <si>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</si>
  <si>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</si>
  <si>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</si>
  <si>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</si>
  <si>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</si>
  <si>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</si>
  <si>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</si>
  <si>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</si>
  <si>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</si>
  <si>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</si>
  <si>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</si>
  <si>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</si>
  <si>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</si>
  <si>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</si>
  <si>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</si>
  <si>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</si>
  <si>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</si>
  <si>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</si>
  <si>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</si>
  <si>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</si>
  <si>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</si>
  <si>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</si>
  <si>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</si>
  <si>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</si>
  <si>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</si>
  <si>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</si>
  <si>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</si>
  <si>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</si>
  <si>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</si>
  <si>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</si>
  <si>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</si>
  <si>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</si>
  <si>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</si>
  <si>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</si>
  <si>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</si>
  <si>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</si>
  <si>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</si>
  <si>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</si>
  <si>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</si>
  <si>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</si>
  <si>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</si>
  <si>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</si>
  <si>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</si>
  <si>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</si>
  <si>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</si>
  <si>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</si>
  <si>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</si>
  <si>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</si>
  <si>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</si>
  <si>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</si>
  <si>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</si>
  <si>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</si>
  <si>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</si>
  <si>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</si>
  <si>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</si>
  <si>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</si>
  <si>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</si>
  <si>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</si>
  <si>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</si>
  <si>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</si>
  <si>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</si>
  <si>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</si>
  <si>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</si>
  <si>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</si>
  <si>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</si>
  <si>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</si>
  <si>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</si>
  <si>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</si>
  <si>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</si>
  <si>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</si>
  <si>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</si>
  <si>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</si>
  <si>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</si>
  <si>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</si>
  <si>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</si>
  <si>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</si>
  <si>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</si>
  <si>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</si>
  <si>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</si>
  <si>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</si>
  <si>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</si>
  <si>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</si>
  <si>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</si>
  <si>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</si>
  <si>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</si>
  <si>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</si>
  <si>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</si>
  <si>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</si>
  <si>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</si>
  <si>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</si>
  <si>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</si>
  <si>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</si>
  <si>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</si>
  <si>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</si>
  <si>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</si>
  <si>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</si>
  <si>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</si>
  <si>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</si>
  <si>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</si>
  <si>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</si>
  <si>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</si>
  <si>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</si>
  <si>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</si>
  <si>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</si>
  <si>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</si>
  <si>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</si>
  <si>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</si>
  <si>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</si>
  <si>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</si>
  <si>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</si>
  <si>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</si>
  <si>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</si>
  <si>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</si>
  <si>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</si>
  <si>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</si>
  <si>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</si>
  <si>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</si>
  <si>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</si>
  <si>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</si>
  <si>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</si>
  <si>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</si>
  <si>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</si>
  <si>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</si>
  <si>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</si>
  <si>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</si>
  <si>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</si>
  <si>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</si>
  <si>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</si>
  <si>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</si>
  <si>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</si>
  <si>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</si>
  <si>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</si>
  <si>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</si>
  <si>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</si>
  <si>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</si>
  <si>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</si>
  <si>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</si>
  <si>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</si>
  <si>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</si>
  <si>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</si>
  <si>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</si>
  <si>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</si>
  <si>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</si>
  <si>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</si>
  <si>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</si>
  <si>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</si>
  <si>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</si>
  <si>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</si>
  <si>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</si>
  <si>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</si>
  <si>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</si>
  <si>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</si>
  <si>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</si>
  <si>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</si>
  <si>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</si>
  <si>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</si>
  <si>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jako Nagroda dla publicznych ocen zgłoszonych rozmów (§ 11 ust. 8a)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</si>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</sst>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Nagrody'!$D$36</f>
        <v>511996.8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Plebiscytu'!$D$33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Plakatu'!$D$36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Filmu'!$D$35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Nagrody'!$D$36+'Budżet Gali'!$D$26+'Budżet Antologii'!$D$38+'Budżet Plebiscytu'!$D$33+'Budżet Plakatu'!$D$36+'Budżet Akademii'!$D$33+'Budżet Filmu'!$D$35</f>
        <v>1665626.8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40000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10000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4000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4000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0</v>
      </c>
      <c r="C25" s="22" t="n">
        <v>1</v>
      </c>
      <c r="D25" s="24" t="n">
        <f aca="false">B25*C25</f>
        <v>0</v>
      </c>
      <c r="E25" s="15" t="s">
        <v>164</v>
      </c>
      <c r="F25" s="3"/>
    </row>
    <row r="26" customFormat="false" ht="15" hidden="false" customHeight="true" outlineLevel="0" collapsed="false">
      <c r="A26" s="21" t="s">
        <v>165</v>
      </c>
      <c r="B26" s="26" t="n">
        <v>15000</v>
      </c>
      <c r="C26" s="22" t="n">
        <v>1</v>
      </c>
      <c r="D26" s="24" t="n">
        <f aca="false">B26*C26</f>
        <v>15000</v>
      </c>
      <c r="E26" s="15" t="s">
        <v>166</v>
      </c>
      <c r="F26" s="3"/>
      <c r="G26" s="3"/>
      <c r="H26" s="3"/>
    </row>
    <row r="27" customFormat="false" ht="15" hidden="false" customHeight="true" outlineLevel="0" collapsed="false">
      <c r="A27" s="21" t="s">
        <v>167</v>
      </c>
      <c r="B27" s="26" t="n">
        <v>4000</v>
      </c>
      <c r="C27" s="22" t="n">
        <v>1</v>
      </c>
      <c r="D27" s="24" t="n">
        <f aca="false">B27*C27</f>
        <v>4000</v>
      </c>
      <c r="E27" s="15" t="s">
        <v>168</v>
      </c>
      <c r="F27" s="3"/>
    </row>
    <row r="28" customFormat="false" ht="15" hidden="false" customHeight="true" outlineLevel="0" collapsed="false">
      <c r="A28" s="21" t="s">
        <v>169</v>
      </c>
      <c r="B28" s="26" t="n">
        <v>0</v>
      </c>
      <c r="C28" s="22" t="n">
        <v>1</v>
      </c>
      <c r="D28" s="24" t="n">
        <f aca="false">B28*C28</f>
        <v>0</v>
      </c>
      <c r="E28" s="15" t="s">
        <v>170</v>
      </c>
      <c r="F28" s="3"/>
      <c r="G28" s="3"/>
      <c r="H28" s="3"/>
    </row>
    <row r="29" customFormat="false" ht="15" hidden="false" customHeight="true" outlineLevel="0" collapsed="false">
      <c r="A29" s="6" t="s">
        <v>171</v>
      </c>
      <c r="B29" s="3"/>
      <c r="C29" s="3"/>
      <c r="D29" s="9" t="n">
        <f aca="false">SUM(D21:D28)</f>
        <v>53950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G30" s="3"/>
      <c r="H30" s="3"/>
    </row>
    <row r="31" customFormat="false" ht="15" hidden="false" customHeight="true" outlineLevel="0" collapsed="false">
      <c r="A31" s="5" t="s">
        <v>172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21" t="s">
        <v>173</v>
      </c>
      <c r="B32" s="3"/>
      <c r="C32" s="3"/>
      <c r="D32" s="24" t="n">
        <f aca="false">Wyjaśnienia!$B$18+Wyjaśnienia!$B$21+Wyjaśnienia!$B$22+Wyjaśnienia!$B$19*Wyjaśnienia!$B$20</f>
        <v>371000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174</v>
      </c>
      <c r="B33" s="3"/>
      <c r="C33" s="3"/>
      <c r="D33" s="8" t="n">
        <f aca="false">E17</f>
        <v>71940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175</v>
      </c>
      <c r="B34" s="3"/>
      <c r="C34" s="3"/>
      <c r="D34" s="8" t="n">
        <f aca="false">D29</f>
        <v>53950</v>
      </c>
      <c r="E34" s="3"/>
      <c r="F34" s="3"/>
      <c r="G34" s="3"/>
      <c r="H34" s="3"/>
    </row>
    <row r="35" customFormat="false" ht="15" hidden="false" customHeight="true" outlineLevel="0" collapsed="false">
      <c r="A35" s="21" t="s">
        <v>176</v>
      </c>
      <c r="D35" s="3" t="n">
        <f aca="false">(D33+D34)*Wyjaśnienia!$B$30</f>
        <v>15106.8</v>
      </c>
      <c r="G35" s="3"/>
      <c r="H35" s="3"/>
    </row>
    <row r="36" customFormat="false" ht="15" hidden="false" customHeight="true" outlineLevel="0" collapsed="false">
      <c r="A36" s="6" t="s">
        <v>177</v>
      </c>
      <c r="B36" s="3"/>
      <c r="C36" s="3"/>
      <c r="D36" s="9" t="n">
        <f aca="false">SUM(D32:D35)</f>
        <v>511996.8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178</v>
      </c>
      <c r="B37" s="3"/>
      <c r="C37" s="3"/>
      <c r="D37" s="8" t="n">
        <f aca="false">D36*Wyjaśnienia!$B$33</f>
        <v>117759.264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179</v>
      </c>
      <c r="B38" s="3"/>
      <c r="C38" s="3"/>
      <c r="D38" s="27" t="n">
        <f aca="false">D36+D37</f>
        <v>629756.064</v>
      </c>
      <c r="E38" s="3"/>
      <c r="F38" s="3"/>
      <c r="G38" s="3"/>
      <c r="H38" s="3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180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181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182</v>
      </c>
      <c r="G7" s="3"/>
      <c r="H7" s="3"/>
    </row>
    <row r="8" customFormat="false" ht="15" hidden="false" customHeight="true" outlineLevel="0" collapsed="false">
      <c r="A8" s="21" t="s">
        <v>183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184</v>
      </c>
      <c r="G8" s="3"/>
      <c r="H8" s="3"/>
    </row>
    <row r="9" customFormat="false" ht="15" hidden="false" customHeight="true" outlineLevel="0" collapsed="false">
      <c r="A9" s="21" t="s">
        <v>185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186</v>
      </c>
      <c r="G9" s="3"/>
      <c r="H9" s="3"/>
    </row>
    <row r="10" customFormat="false" ht="15" hidden="false" customHeight="true" outlineLevel="0" collapsed="false">
      <c r="A10" s="21" t="s">
        <v>187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188</v>
      </c>
      <c r="G10" s="3"/>
      <c r="H10" s="3"/>
    </row>
    <row r="11" customFormat="false" ht="15" hidden="false" customHeight="true" outlineLevel="0" collapsed="false">
      <c r="A11" s="21" t="s">
        <v>189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190</v>
      </c>
      <c r="G11" s="3"/>
      <c r="H11" s="3"/>
    </row>
    <row r="12" customFormat="false" ht="15" hidden="false" customHeight="true" outlineLevel="0" collapsed="false">
      <c r="A12" s="21" t="s">
        <v>191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192</v>
      </c>
      <c r="G12" s="3"/>
      <c r="H12" s="3"/>
    </row>
    <row r="13" customFormat="false" ht="15" hidden="false" customHeight="true" outlineLevel="0" collapsed="false">
      <c r="A13" s="21" t="s">
        <v>193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194</v>
      </c>
      <c r="G13" s="3"/>
      <c r="H13" s="3"/>
    </row>
    <row r="14" customFormat="false" ht="15" hidden="false" customHeight="true" outlineLevel="0" collapsed="false">
      <c r="A14" s="21" t="s">
        <v>195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196</v>
      </c>
      <c r="B19" s="26" t="n">
        <v>3000</v>
      </c>
      <c r="C19" s="22" t="n">
        <v>1</v>
      </c>
      <c r="D19" s="24" t="n">
        <f aca="false">B19*C19</f>
        <v>3000</v>
      </c>
      <c r="E19" s="15" t="s">
        <v>197</v>
      </c>
      <c r="F19" s="3"/>
      <c r="G19" s="3"/>
      <c r="H19" s="3"/>
    </row>
    <row r="20" customFormat="false" ht="15" hidden="false" customHeight="true" outlineLevel="0" collapsed="false">
      <c r="A20" s="21" t="s">
        <v>198</v>
      </c>
      <c r="B20" s="26" t="n">
        <v>6000</v>
      </c>
      <c r="C20" s="22" t="n">
        <v>1</v>
      </c>
      <c r="D20" s="24" t="n">
        <f aca="false">B20*C20</f>
        <v>6000</v>
      </c>
      <c r="E20" s="15" t="s">
        <v>199</v>
      </c>
      <c r="F20" s="3" t="s">
        <v>200</v>
      </c>
      <c r="G20" s="3"/>
      <c r="H20" s="3"/>
    </row>
    <row r="21" customFormat="false" ht="15" hidden="false" customHeight="true" outlineLevel="0" collapsed="false">
      <c r="A21" s="21" t="s">
        <v>201</v>
      </c>
      <c r="B21" s="26" t="n">
        <v>10000</v>
      </c>
      <c r="C21" s="22" t="n">
        <v>1</v>
      </c>
      <c r="D21" s="24" t="n">
        <f aca="false">B21*C21</f>
        <v>10000</v>
      </c>
      <c r="E21" s="15" t="s">
        <v>202</v>
      </c>
      <c r="F21" s="3"/>
      <c r="G21" s="3"/>
      <c r="H21" s="3"/>
    </row>
    <row r="22" customFormat="false" ht="15" hidden="false" customHeight="true" outlineLevel="0" collapsed="false">
      <c r="A22" s="21" t="s">
        <v>203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204</v>
      </c>
      <c r="F22" s="3"/>
      <c r="G22" s="3"/>
      <c r="H22" s="3"/>
    </row>
    <row r="23" customFormat="false" ht="15" hidden="false" customHeight="true" outlineLevel="0" collapsed="false">
      <c r="A23" s="21" t="s">
        <v>205</v>
      </c>
      <c r="B23" s="26" t="n">
        <v>4000</v>
      </c>
      <c r="C23" s="22" t="n">
        <v>1</v>
      </c>
      <c r="D23" s="24" t="n">
        <f aca="false">B23*C23</f>
        <v>4000</v>
      </c>
      <c r="E23" s="15" t="s">
        <v>206</v>
      </c>
      <c r="F23" s="3"/>
      <c r="G23" s="3"/>
      <c r="H23" s="3"/>
    </row>
    <row r="24" customFormat="false" ht="15" hidden="false" customHeight="true" outlineLevel="0" collapsed="false">
      <c r="A24" s="21" t="s">
        <v>207</v>
      </c>
      <c r="B24" s="26" t="n">
        <v>3000</v>
      </c>
      <c r="C24" s="22" t="n">
        <v>1</v>
      </c>
      <c r="D24" s="24" t="n">
        <f aca="false">B24*C24</f>
        <v>3000</v>
      </c>
      <c r="E24" s="15" t="s">
        <v>208</v>
      </c>
      <c r="F24" s="3"/>
      <c r="G24" s="3"/>
      <c r="H24" s="3"/>
    </row>
    <row r="25" customFormat="false" ht="15" hidden="false" customHeight="true" outlineLevel="0" collapsed="false">
      <c r="A25" s="21" t="s">
        <v>209</v>
      </c>
      <c r="B25" s="26" t="n">
        <v>4000</v>
      </c>
      <c r="C25" s="22" t="n">
        <v>1</v>
      </c>
      <c r="D25" s="24" t="n">
        <f aca="false">B25*C25</f>
        <v>4000</v>
      </c>
      <c r="E25" s="15" t="s">
        <v>210</v>
      </c>
      <c r="F25" s="3"/>
      <c r="G25" s="3"/>
      <c r="H25" s="3"/>
    </row>
    <row r="26" customFormat="false" ht="15" hidden="false" customHeight="true" outlineLevel="0" collapsed="false">
      <c r="A26" s="21" t="s">
        <v>211</v>
      </c>
      <c r="B26" s="26" t="n">
        <v>0</v>
      </c>
      <c r="C26" s="22" t="n">
        <v>1</v>
      </c>
      <c r="D26" s="24" t="n">
        <f aca="false">B26*C26</f>
        <v>0</v>
      </c>
      <c r="E26" s="15" t="s">
        <v>212</v>
      </c>
      <c r="F26" s="3"/>
      <c r="G26" s="3"/>
      <c r="H26" s="3"/>
    </row>
    <row r="27" customFormat="false" ht="15" hidden="false" customHeight="true" outlineLevel="0" collapsed="false">
      <c r="A27" s="21" t="s">
        <v>213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214</v>
      </c>
      <c r="F27" s="3"/>
      <c r="G27" s="3"/>
      <c r="H27" s="3"/>
    </row>
    <row r="28" customFormat="false" ht="15" hidden="false" customHeight="true" outlineLevel="0" collapsed="false">
      <c r="A28" s="21" t="s">
        <v>215</v>
      </c>
      <c r="B28" s="26" t="n">
        <v>6000</v>
      </c>
      <c r="C28" s="22" t="n">
        <v>1</v>
      </c>
      <c r="D28" s="24" t="n">
        <f aca="false">B28*C28</f>
        <v>6000</v>
      </c>
      <c r="E28" s="15" t="s">
        <v>216</v>
      </c>
      <c r="F28" s="3"/>
      <c r="G28" s="3"/>
      <c r="H28" s="3"/>
    </row>
    <row r="29" customFormat="false" ht="15" hidden="false" customHeight="true" outlineLevel="0" collapsed="false">
      <c r="A29" s="21" t="s">
        <v>217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218</v>
      </c>
      <c r="F29" s="3"/>
      <c r="G29" s="3"/>
      <c r="H29" s="3"/>
    </row>
    <row r="30" customFormat="false" ht="15" hidden="false" customHeight="true" outlineLevel="0" collapsed="false">
      <c r="A30" s="28" t="s">
        <v>219</v>
      </c>
      <c r="B30" s="18" t="n">
        <v>4500</v>
      </c>
      <c r="C30" s="29" t="n">
        <v>1</v>
      </c>
      <c r="D30" s="8" t="n">
        <f aca="false">B30*C30</f>
        <v>4500</v>
      </c>
      <c r="F30" s="28" t="s">
        <v>220</v>
      </c>
    </row>
    <row r="31" customFormat="false" ht="15" hidden="false" customHeight="true" outlineLevel="0" collapsed="false">
      <c r="A31" s="28" t="s">
        <v>221</v>
      </c>
      <c r="B31" s="18" t="n">
        <v>0</v>
      </c>
      <c r="C31" s="29" t="n">
        <v>1</v>
      </c>
      <c r="D31" s="8" t="n">
        <f aca="false">B31*C31</f>
        <v>0</v>
      </c>
      <c r="E31" s="1" t="s">
        <v>222</v>
      </c>
      <c r="F31" s="28"/>
    </row>
    <row r="32" customFormat="false" ht="15" hidden="false" customHeight="true" outlineLevel="0" collapsed="false">
      <c r="A32" s="6" t="s">
        <v>171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172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174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223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177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178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179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225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226</v>
      </c>
      <c r="G7" s="3"/>
      <c r="H7" s="3"/>
    </row>
    <row r="8" customFormat="false" ht="15" hidden="false" customHeight="true" outlineLevel="0" collapsed="false">
      <c r="A8" s="21" t="s">
        <v>227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228</v>
      </c>
      <c r="G8" s="3"/>
      <c r="H8" s="3"/>
    </row>
    <row r="9" customFormat="false" ht="15" hidden="false" customHeight="true" outlineLevel="0" collapsed="false">
      <c r="A9" s="21" t="s">
        <v>229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230</v>
      </c>
      <c r="G9" s="3"/>
      <c r="H9" s="3"/>
    </row>
    <row r="10" customFormat="false" ht="15" hidden="false" customHeight="true" outlineLevel="0" collapsed="false">
      <c r="A10" s="21" t="s">
        <v>231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232</v>
      </c>
      <c r="G10" s="3"/>
      <c r="H10" s="3"/>
    </row>
    <row r="11" customFormat="false" ht="15" hidden="false" customHeight="true" outlineLevel="0" collapsed="false">
      <c r="A11" s="21" t="s">
        <v>233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234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235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236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237</v>
      </c>
      <c r="F16" s="3"/>
      <c r="G16" s="3"/>
      <c r="H16" s="3"/>
    </row>
    <row r="17" customFormat="false" ht="15" hidden="false" customHeight="true" outlineLevel="0" collapsed="false">
      <c r="A17" s="21" t="s">
        <v>167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238</v>
      </c>
      <c r="F17" s="3"/>
      <c r="G17" s="3"/>
      <c r="H17" s="3"/>
    </row>
    <row r="18" customFormat="false" ht="15" hidden="false" customHeight="true" outlineLevel="0" collapsed="false">
      <c r="A18" s="21" t="s">
        <v>239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240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241</v>
      </c>
      <c r="F19" s="3"/>
      <c r="G19" s="3"/>
      <c r="H19" s="3"/>
    </row>
    <row r="20" customFormat="false" ht="15" hidden="false" customHeight="true" outlineLevel="0" collapsed="false">
      <c r="A20" s="21" t="s">
        <v>242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243</v>
      </c>
      <c r="F20" s="3"/>
      <c r="G20" s="3"/>
      <c r="H20" s="3"/>
    </row>
    <row r="21" customFormat="false" ht="15" hidden="false" customHeight="true" outlineLevel="0" collapsed="false">
      <c r="A21" s="21" t="s">
        <v>244</v>
      </c>
      <c r="B21" s="26" t="n">
        <v>0</v>
      </c>
      <c r="C21" s="22" t="n">
        <v>1</v>
      </c>
      <c r="D21" s="24" t="n">
        <f aca="false">B21*C21</f>
        <v>0</v>
      </c>
      <c r="E21" s="15" t="s">
        <v>245</v>
      </c>
      <c r="F21" s="3"/>
      <c r="G21" s="3"/>
      <c r="H21" s="3"/>
    </row>
    <row r="22" customFormat="false" ht="15" hidden="false" customHeight="true" outlineLevel="0" collapsed="false">
      <c r="A22" s="21" t="s">
        <v>163</v>
      </c>
      <c r="B22" s="26" t="n">
        <v>0</v>
      </c>
      <c r="C22" s="22" t="n">
        <v>1</v>
      </c>
      <c r="D22" s="24" t="n">
        <f aca="false">B22*C22</f>
        <v>0</v>
      </c>
      <c r="E22" s="15" t="s">
        <v>246</v>
      </c>
      <c r="F22" s="3"/>
    </row>
    <row r="23" customFormat="false" ht="15" hidden="false" customHeight="true" outlineLevel="0" collapsed="false">
      <c r="A23" s="21" t="s">
        <v>247</v>
      </c>
      <c r="B23" s="26" t="n">
        <v>0</v>
      </c>
      <c r="C23" s="22" t="n">
        <v>1</v>
      </c>
      <c r="D23" s="24" t="n">
        <f aca="false">B23*C23</f>
        <v>0</v>
      </c>
      <c r="E23" s="15" t="s">
        <v>248</v>
      </c>
      <c r="F23" s="3"/>
      <c r="G23" s="3"/>
      <c r="H23" s="3"/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 t="s">
        <v>251</v>
      </c>
    </row>
    <row r="25" customFormat="false" ht="15" hidden="false" customHeight="true" outlineLevel="0" collapsed="false">
      <c r="A25" s="28" t="s">
        <v>252</v>
      </c>
      <c r="B25" s="18" t="n">
        <v>0</v>
      </c>
      <c r="C25" s="29" t="n">
        <v>1</v>
      </c>
      <c r="D25" s="8" t="n">
        <f aca="false">B25*C25</f>
        <v>0</v>
      </c>
      <c r="E25" s="1" t="s">
        <v>253</v>
      </c>
      <c r="F25" s="28"/>
    </row>
    <row r="26" customFormat="false" ht="15" hidden="false" customHeight="true" outlineLevel="0" collapsed="false">
      <c r="A26" s="6" t="s">
        <v>171</v>
      </c>
      <c r="D26" s="3" t="n">
        <f aca="false">SUM(D16:D25)</f>
        <v>195200</v>
      </c>
      <c r="G26" s="3"/>
      <c r="H26" s="3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"/>
      <c r="H27" s="3"/>
    </row>
    <row r="28" customFormat="false" ht="15" hidden="false" customHeight="true" outlineLevel="0" collapsed="false">
      <c r="A28" s="5" t="s">
        <v>172</v>
      </c>
      <c r="B28" s="5"/>
      <c r="C28" s="5"/>
      <c r="D28" s="5"/>
      <c r="E28" s="5"/>
      <c r="F28" s="5"/>
      <c r="G28" s="3"/>
      <c r="H28" s="3"/>
    </row>
    <row r="29" customFormat="false" ht="15" hidden="false" customHeight="true" outlineLevel="0" collapsed="false">
      <c r="A29" s="21" t="s">
        <v>173</v>
      </c>
      <c r="B29" s="3"/>
      <c r="C29" s="3"/>
      <c r="D29" s="24" t="n">
        <f aca="false">Wyjaśnienia!$B$24+Wyjaśnienia!$B$25</f>
        <v>39000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174</v>
      </c>
      <c r="B30" s="3"/>
      <c r="C30" s="3"/>
      <c r="D30" s="8" t="n">
        <f aca="false">E12</f>
        <v>36300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254</v>
      </c>
      <c r="B31" s="3"/>
      <c r="C31" s="3"/>
      <c r="D31" s="8" t="n">
        <f aca="false">D26-D29</f>
        <v>156200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176</v>
      </c>
      <c r="B32" s="3"/>
      <c r="C32" s="3"/>
      <c r="D32" s="8" t="n">
        <f aca="false">(D30+D31)*Wyjaśnienia!$B$32</f>
        <v>23100</v>
      </c>
      <c r="E32" s="3"/>
      <c r="F32" s="3"/>
      <c r="G32" s="3"/>
      <c r="H32" s="3"/>
    </row>
    <row r="33" customFormat="false" ht="15" hidden="false" customHeight="true" outlineLevel="0" collapsed="false">
      <c r="A33" s="6" t="s">
        <v>177</v>
      </c>
      <c r="B33" s="3"/>
      <c r="C33" s="3"/>
      <c r="D33" s="9" t="n">
        <f aca="false">SUM(D29:D32)</f>
        <v>254600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178</v>
      </c>
      <c r="B34" s="3"/>
      <c r="C34" s="3"/>
      <c r="D34" s="8" t="n">
        <f aca="false">D33*Wyjaśnienia!$B$33</f>
        <v>58558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179</v>
      </c>
      <c r="B35" s="3"/>
      <c r="C35" s="3"/>
      <c r="D35" s="27" t="n">
        <f aca="false">D33+D34</f>
        <v>313158</v>
      </c>
      <c r="E35" s="3"/>
      <c r="F35" s="3"/>
      <c r="G35" s="3"/>
      <c r="H35" s="3"/>
    </row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7:F27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255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256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257</v>
      </c>
    </row>
    <row r="8" customFormat="false" ht="15" hidden="false" customHeight="true" outlineLevel="0" collapsed="false">
      <c r="A8" s="3" t="s">
        <v>258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259</v>
      </c>
    </row>
    <row r="9" customFormat="false" ht="15" hidden="false" customHeight="true" outlineLevel="0" collapsed="false">
      <c r="A9" s="3" t="s">
        <v>231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260</v>
      </c>
    </row>
    <row r="10" customFormat="false" ht="15" hidden="false" customHeight="true" outlineLevel="0" collapsed="false">
      <c r="A10" s="3" t="s">
        <v>261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262</v>
      </c>
    </row>
    <row r="11" customFormat="false" ht="15" hidden="false" customHeight="true" outlineLevel="0" collapsed="false">
      <c r="A11" s="3" t="s">
        <v>263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264</v>
      </c>
    </row>
    <row r="12" customFormat="false" ht="15" hidden="false" customHeight="true" outlineLevel="0" collapsed="false">
      <c r="A12" s="3" t="s">
        <v>265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266</v>
      </c>
    </row>
    <row r="13" customFormat="false" ht="15" hidden="false" customHeight="true" outlineLevel="0" collapsed="false">
      <c r="A13" s="3" t="s">
        <v>267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268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235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269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270</v>
      </c>
    </row>
    <row r="19" customFormat="false" ht="15" hidden="false" customHeight="true" outlineLevel="0" collapsed="false">
      <c r="A19" s="3" t="s">
        <v>271</v>
      </c>
      <c r="B19" s="8" t="n">
        <f aca="false">Wyjaśnienia!$B$55</f>
        <v>4000</v>
      </c>
      <c r="C19" s="32" t="n">
        <v>1</v>
      </c>
      <c r="D19" s="8" t="n">
        <f aca="false">B19*C19</f>
        <v>4000</v>
      </c>
      <c r="E19" s="3" t="s">
        <v>272</v>
      </c>
    </row>
    <row r="20" customFormat="false" ht="15" hidden="false" customHeight="true" outlineLevel="0" collapsed="false">
      <c r="A20" s="3" t="s">
        <v>242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243</v>
      </c>
    </row>
    <row r="21" customFormat="false" ht="15" hidden="false" customHeight="true" outlineLevel="0" collapsed="false">
      <c r="A21" s="3" t="s">
        <v>273</v>
      </c>
      <c r="B21" s="18" t="n">
        <v>0</v>
      </c>
      <c r="C21" s="32" t="n">
        <v>1</v>
      </c>
      <c r="D21" s="8" t="n">
        <f aca="false">B21*C21</f>
        <v>0</v>
      </c>
      <c r="E21" s="3" t="s">
        <v>274</v>
      </c>
    </row>
    <row r="22" customFormat="false" ht="15" hidden="false" customHeight="true" outlineLevel="0" collapsed="false">
      <c r="A22" s="3" t="s">
        <v>163</v>
      </c>
      <c r="B22" s="18" t="n">
        <v>0</v>
      </c>
      <c r="C22" s="32" t="n">
        <v>1</v>
      </c>
      <c r="D22" s="8" t="n">
        <f aca="false">B22*C22</f>
        <v>0</v>
      </c>
      <c r="E22" s="3" t="s">
        <v>164</v>
      </c>
    </row>
    <row r="23" customFormat="false" ht="15" hidden="false" customHeight="true" outlineLevel="0" collapsed="false">
      <c r="A23" s="3" t="s">
        <v>275</v>
      </c>
      <c r="B23" s="8" t="n">
        <f aca="false">Wyjaśnienia!$B$61*2</f>
        <v>800</v>
      </c>
      <c r="C23" s="32" t="n">
        <f aca="false">Wyjaśnienia!$B$60</f>
        <v>10</v>
      </c>
      <c r="D23" s="8" t="n">
        <f aca="false">B23*C23</f>
        <v>8000</v>
      </c>
      <c r="E23" s="3" t="s">
        <v>276</v>
      </c>
    </row>
    <row r="24" customFormat="false" ht="15" hidden="false" customHeight="true" outlineLevel="0" collapsed="false">
      <c r="A24" s="3" t="s">
        <v>94</v>
      </c>
      <c r="B24" s="8" t="n">
        <f aca="false">Wyjaśnienia!$B$62</f>
        <v>3000</v>
      </c>
      <c r="C24" s="32" t="n">
        <v>1</v>
      </c>
      <c r="D24" s="8" t="n">
        <f aca="false">B24*C24</f>
        <v>3000</v>
      </c>
      <c r="E24" s="3" t="s">
        <v>277</v>
      </c>
    </row>
    <row r="25" customFormat="false" ht="15" hidden="false" customHeight="true" outlineLevel="0" collapsed="false">
      <c r="A25" s="3" t="s">
        <v>278</v>
      </c>
      <c r="B25" s="18" t="n">
        <v>0</v>
      </c>
      <c r="C25" s="32" t="n">
        <v>1</v>
      </c>
      <c r="D25" s="8" t="n">
        <f aca="false">B25*C25</f>
        <v>0</v>
      </c>
      <c r="E25" s="3" t="s">
        <v>279</v>
      </c>
    </row>
    <row r="26" customFormat="false" ht="15" hidden="false" customHeight="true" outlineLevel="0" collapsed="false">
      <c r="A26" s="3" t="s">
        <v>280</v>
      </c>
      <c r="B26" s="18" t="n">
        <v>0</v>
      </c>
      <c r="C26" s="32" t="n">
        <v>1</v>
      </c>
      <c r="D26" s="8" t="n">
        <f aca="false">B26*C26</f>
        <v>0</v>
      </c>
      <c r="E26" s="3" t="s">
        <v>281</v>
      </c>
    </row>
    <row r="27" customFormat="false" ht="15" hidden="false" customHeight="true" outlineLevel="0" collapsed="false">
      <c r="A27" s="3" t="s">
        <v>282</v>
      </c>
      <c r="B27" s="18" t="n">
        <v>0</v>
      </c>
      <c r="C27" s="32" t="n">
        <v>1</v>
      </c>
      <c r="D27" s="8" t="n">
        <f aca="false">B27*C27</f>
        <v>0</v>
      </c>
      <c r="E27" s="3" t="s">
        <v>283</v>
      </c>
    </row>
    <row r="28" customFormat="false" ht="15" hidden="false" customHeight="true" outlineLevel="0" collapsed="false">
      <c r="A28" s="3" t="s">
        <v>284</v>
      </c>
      <c r="B28" s="18" t="n">
        <v>0</v>
      </c>
      <c r="C28" s="32" t="n">
        <v>1</v>
      </c>
      <c r="D28" s="8" t="n">
        <f aca="false">B28*C28</f>
        <v>0</v>
      </c>
      <c r="E28" s="3" t="s">
        <v>285</v>
      </c>
    </row>
    <row r="29" customFormat="false" ht="15" hidden="false" customHeight="true" outlineLevel="0" collapsed="false">
      <c r="A29" s="10" t="s">
        <v>171</v>
      </c>
      <c r="D29" s="3" t="n">
        <f aca="false">SUM(D18:D28)</f>
        <v>106200</v>
      </c>
    </row>
    <row r="30" customFormat="false" ht="15" hidden="false" customHeight="true" outlineLevel="0" collapsed="false">
      <c r="A30" s="30"/>
      <c r="B30" s="30"/>
      <c r="C30" s="30"/>
      <c r="D30" s="30"/>
      <c r="E30" s="30"/>
      <c r="F30" s="30"/>
    </row>
    <row r="31" customFormat="false" ht="15" hidden="false" customHeight="true" outlineLevel="0" collapsed="false">
      <c r="A31" s="10" t="s">
        <v>172</v>
      </c>
    </row>
    <row r="32" customFormat="false" ht="15" hidden="false" customHeight="true" outlineLevel="0" collapsed="false">
      <c r="A32" s="3" t="s">
        <v>173</v>
      </c>
      <c r="D32" s="8" t="n">
        <f aca="false">Wyjaśnienia!$B$54+Wyjaśnienia!$B$55</f>
        <v>94000</v>
      </c>
    </row>
    <row r="33" customFormat="false" ht="15" hidden="false" customHeight="true" outlineLevel="0" collapsed="false">
      <c r="A33" s="3" t="s">
        <v>174</v>
      </c>
      <c r="D33" s="8" t="n">
        <f aca="false">E14</f>
        <v>41800</v>
      </c>
    </row>
    <row r="34" customFormat="false" ht="15" hidden="false" customHeight="true" outlineLevel="0" collapsed="false">
      <c r="A34" s="3" t="s">
        <v>254</v>
      </c>
      <c r="D34" s="8" t="n">
        <f aca="false">D29-D32</f>
        <v>12200</v>
      </c>
    </row>
    <row r="35" customFormat="false" ht="15" hidden="false" customHeight="true" outlineLevel="0" collapsed="false">
      <c r="A35" s="3" t="s">
        <v>176</v>
      </c>
      <c r="D35" s="8" t="n">
        <f aca="false">(D33+D34)*Wyjaśnienia!$B$63</f>
        <v>6480</v>
      </c>
    </row>
    <row r="36" customFormat="false" ht="15" hidden="false" customHeight="true" outlineLevel="0" collapsed="false">
      <c r="A36" s="10" t="s">
        <v>177</v>
      </c>
      <c r="D36" s="11" t="n">
        <f aca="false">SUM(D32:D35)</f>
        <v>154480</v>
      </c>
    </row>
    <row r="37" customFormat="false" ht="15" hidden="false" customHeight="true" outlineLevel="0" collapsed="false">
      <c r="A37" s="3" t="s">
        <v>178</v>
      </c>
      <c r="D37" s="8" t="n">
        <f aca="false">D36*Wyjaśnienia!$B$33</f>
        <v>35530.4</v>
      </c>
    </row>
    <row r="38" customFormat="false" ht="15" hidden="false" customHeight="false" outlineLevel="0" collapsed="false">
      <c r="A38" s="10" t="s">
        <v>179</v>
      </c>
      <c r="D38" s="11" t="n">
        <f aca="false">D36+D37</f>
        <v>190010.4</v>
      </c>
    </row>
  </sheetData>
  <mergeCells count="6">
    <mergeCell ref="A1:F1"/>
    <mergeCell ref="A2:F2"/>
    <mergeCell ref="A3:F3"/>
    <mergeCell ref="A5:F5"/>
    <mergeCell ref="A16:F16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286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287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288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289</v>
      </c>
      <c r="F6" s="37" t="s">
        <v>129</v>
      </c>
    </row>
    <row r="7" customFormat="false" ht="54.75" hidden="false" customHeight="true" outlineLevel="0" collapsed="false">
      <c r="A7" s="28" t="s">
        <v>290</v>
      </c>
      <c r="B7" s="39" t="n">
        <f aca="false">Wyjaśnienia!$B$17</f>
        <v>150</v>
      </c>
      <c r="F7" s="28" t="s">
        <v>291</v>
      </c>
    </row>
    <row r="8" customFormat="false" ht="15" hidden="false" customHeight="true" outlineLevel="0" collapsed="false">
      <c r="A8" s="28" t="s">
        <v>292</v>
      </c>
      <c r="B8" s="39" t="n">
        <f aca="false">Wyjaśnienia!$B$46</f>
        <v>2</v>
      </c>
      <c r="F8" s="28" t="s">
        <v>293</v>
      </c>
    </row>
    <row r="9" customFormat="false" ht="15" hidden="false" customHeight="true" outlineLevel="0" collapsed="false">
      <c r="A9" s="37" t="s">
        <v>294</v>
      </c>
      <c r="B9" s="40" t="n">
        <f aca="false">B7*B8</f>
        <v>300</v>
      </c>
      <c r="F9" s="28" t="s">
        <v>295</v>
      </c>
    </row>
    <row r="10" customFormat="false" ht="54.75" hidden="false" customHeight="true" outlineLevel="0" collapsed="false">
      <c r="A10" s="28" t="s">
        <v>296</v>
      </c>
      <c r="B10" s="39" t="n">
        <f aca="false">Wyjaśnienia!$B$66</f>
        <v>150</v>
      </c>
      <c r="F10" s="28" t="s">
        <v>297</v>
      </c>
    </row>
    <row r="11" customFormat="false" ht="15" hidden="false" customHeight="true" outlineLevel="0" collapsed="false">
      <c r="A11" s="28" t="s">
        <v>298</v>
      </c>
      <c r="B11" s="39" t="n">
        <f aca="false">Wyjaśnienia!$B$75</f>
        <v>2</v>
      </c>
      <c r="F11" s="28" t="s">
        <v>299</v>
      </c>
    </row>
    <row r="12" customFormat="false" ht="27.75" hidden="false" customHeight="true" outlineLevel="0" collapsed="false">
      <c r="A12" s="37" t="s">
        <v>300</v>
      </c>
      <c r="B12" s="40" t="n">
        <f aca="false">B10*B11</f>
        <v>300</v>
      </c>
      <c r="F12" s="28" t="s">
        <v>301</v>
      </c>
    </row>
    <row r="14" customFormat="false" ht="15" hidden="false" customHeight="true" outlineLevel="0" collapsed="false">
      <c r="A14" s="36" t="s">
        <v>302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303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304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305</v>
      </c>
    </row>
    <row r="17" customFormat="false" ht="15" hidden="false" customHeight="true" outlineLevel="0" collapsed="false">
      <c r="A17" s="28" t="s">
        <v>306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307</v>
      </c>
    </row>
    <row r="18" customFormat="false" ht="41.25" hidden="false" customHeight="true" outlineLevel="0" collapsed="false">
      <c r="A18" s="28" t="s">
        <v>308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309</v>
      </c>
    </row>
    <row r="19" customFormat="false" ht="15" hidden="false" customHeight="true" outlineLevel="0" collapsed="false">
      <c r="A19" s="37" t="s">
        <v>310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311</v>
      </c>
      <c r="B23" s="41" t="n">
        <v>2000</v>
      </c>
      <c r="C23" s="39" t="n">
        <v>1</v>
      </c>
      <c r="D23" s="41" t="n">
        <f aca="false">B23*C23</f>
        <v>2000</v>
      </c>
      <c r="F23" s="28" t="s">
        <v>312</v>
      </c>
    </row>
    <row r="24" customFormat="false" ht="27.75" hidden="false" customHeight="true" outlineLevel="0" collapsed="false">
      <c r="A24" s="28" t="s">
        <v>313</v>
      </c>
      <c r="B24" s="41" t="n">
        <v>3000</v>
      </c>
      <c r="C24" s="39" t="n">
        <v>1</v>
      </c>
      <c r="D24" s="41" t="n">
        <f aca="false">B24*C24</f>
        <v>3000</v>
      </c>
      <c r="F24" s="28" t="s">
        <v>314</v>
      </c>
    </row>
    <row r="25" customFormat="false" ht="54.75" hidden="false" customHeight="true" outlineLevel="0" collapsed="false">
      <c r="A25" s="28" t="s">
        <v>315</v>
      </c>
      <c r="B25" s="41" t="n">
        <v>5000</v>
      </c>
      <c r="C25" s="39" t="n">
        <v>1</v>
      </c>
      <c r="D25" s="41" t="n">
        <f aca="false">B25*C25</f>
        <v>5000</v>
      </c>
      <c r="F25" s="28" t="s">
        <v>316</v>
      </c>
    </row>
    <row r="26" customFormat="false" ht="41.25" hidden="false" customHeight="true" outlineLevel="0" collapsed="false">
      <c r="A26" s="28" t="s">
        <v>317</v>
      </c>
      <c r="B26" s="41" t="n">
        <v>4000</v>
      </c>
      <c r="C26" s="39" t="n">
        <v>1</v>
      </c>
      <c r="D26" s="41" t="n">
        <f aca="false">B26*C26</f>
        <v>4000</v>
      </c>
      <c r="F26" s="28" t="s">
        <v>318</v>
      </c>
    </row>
    <row r="27" customFormat="false" ht="15" hidden="false" customHeight="true" outlineLevel="0" collapsed="false">
      <c r="A27" s="37" t="s">
        <v>171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172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319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175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320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177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178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179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321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322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323</v>
      </c>
      <c r="B39" s="38" t="s">
        <v>324</v>
      </c>
      <c r="C39" s="38" t="s">
        <v>325</v>
      </c>
      <c r="D39" s="38" t="s">
        <v>326</v>
      </c>
      <c r="E39" s="38" t="s">
        <v>327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328</v>
      </c>
      <c r="B46" s="38" t="s">
        <v>329</v>
      </c>
      <c r="C46" s="38" t="s">
        <v>330</v>
      </c>
      <c r="D46" s="38" t="s">
        <v>331</v>
      </c>
      <c r="E46" s="38" t="s">
        <v>332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333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334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335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336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337</v>
      </c>
    </row>
    <row r="8" customFormat="false" ht="15" hidden="false" customHeight="true" outlineLevel="0" collapsed="false">
      <c r="A8" s="3" t="s">
        <v>338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339</v>
      </c>
    </row>
    <row r="9" customFormat="false" ht="15" hidden="false" customHeight="true" outlineLevel="0" collapsed="false">
      <c r="A9" s="3" t="s">
        <v>340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341</v>
      </c>
    </row>
    <row r="10" customFormat="false" ht="15" hidden="false" customHeight="true" outlineLevel="0" collapsed="false">
      <c r="A10" s="3" t="s">
        <v>231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260</v>
      </c>
    </row>
    <row r="11" customFormat="false" ht="15" hidden="false" customHeight="true" outlineLevel="0" collapsed="false">
      <c r="A11" s="3" t="s">
        <v>342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343</v>
      </c>
    </row>
    <row r="12" customFormat="false" ht="15" hidden="false" customHeight="true" outlineLevel="0" collapsed="false">
      <c r="A12" s="3" t="s">
        <v>344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345</v>
      </c>
    </row>
    <row r="13" customFormat="false" ht="15" hidden="false" customHeight="true" outlineLevel="0" collapsed="false">
      <c r="A13" s="3" t="s">
        <v>346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347</v>
      </c>
    </row>
    <row r="14" customFormat="false" ht="15" hidden="false" customHeight="true" outlineLevel="0" collapsed="false">
      <c r="A14" s="3" t="s">
        <v>348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349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350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351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352</v>
      </c>
    </row>
    <row r="20" customFormat="false" ht="15" hidden="false" customHeight="true" outlineLevel="0" collapsed="false">
      <c r="A20" s="3" t="s">
        <v>271</v>
      </c>
      <c r="B20" s="8" t="n">
        <f aca="false">Wyjaśnienia!$B$68</f>
        <v>4000</v>
      </c>
      <c r="C20" s="32" t="n">
        <v>1</v>
      </c>
      <c r="D20" s="8" t="n">
        <f aca="false">B20*C20</f>
        <v>4000</v>
      </c>
      <c r="E20" s="3" t="s">
        <v>353</v>
      </c>
    </row>
    <row r="21" customFormat="false" ht="15" hidden="false" customHeight="true" outlineLevel="0" collapsed="false">
      <c r="A21" s="3" t="s">
        <v>242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354</v>
      </c>
    </row>
    <row r="22" customFormat="false" ht="15" hidden="false" customHeight="true" outlineLevel="0" collapsed="false">
      <c r="A22" s="3" t="s">
        <v>355</v>
      </c>
      <c r="B22" s="8" t="n">
        <v>0</v>
      </c>
      <c r="C22" s="32" t="n">
        <v>1</v>
      </c>
      <c r="D22" s="8" t="n">
        <f aca="false">B22*C22</f>
        <v>0</v>
      </c>
      <c r="E22" s="3" t="s">
        <v>356</v>
      </c>
    </row>
    <row r="23" customFormat="false" ht="15" hidden="false" customHeight="true" outlineLevel="0" collapsed="false">
      <c r="A23" s="3" t="s">
        <v>163</v>
      </c>
      <c r="B23" s="8" t="n">
        <v>0</v>
      </c>
      <c r="C23" s="32" t="n">
        <v>1</v>
      </c>
      <c r="D23" s="8" t="n">
        <f aca="false">B23*C23</f>
        <v>0</v>
      </c>
      <c r="E23" s="3" t="s">
        <v>164</v>
      </c>
    </row>
    <row r="24" customFormat="false" ht="15" hidden="false" customHeight="true" outlineLevel="0" collapsed="false">
      <c r="A24" s="3" t="s">
        <v>357</v>
      </c>
      <c r="B24" s="8" t="n">
        <v>0</v>
      </c>
      <c r="C24" s="32" t="n">
        <v>1</v>
      </c>
      <c r="D24" s="8" t="n">
        <f aca="false">B24*C24</f>
        <v>0</v>
      </c>
      <c r="E24" s="3" t="s">
        <v>358</v>
      </c>
    </row>
    <row r="25" customFormat="false" ht="15" hidden="false" customHeight="true" outlineLevel="0" collapsed="false">
      <c r="A25" s="3" t="s">
        <v>359</v>
      </c>
      <c r="B25" s="8" t="n">
        <v>0</v>
      </c>
      <c r="C25" s="32" t="n">
        <v>1</v>
      </c>
      <c r="D25" s="8" t="n">
        <f aca="false">B25*C25</f>
        <v>0</v>
      </c>
      <c r="E25" s="3" t="s">
        <v>360</v>
      </c>
    </row>
    <row r="26" customFormat="false" ht="15" hidden="false" customHeight="true" outlineLevel="0" collapsed="false">
      <c r="A26" s="3" t="s">
        <v>282</v>
      </c>
      <c r="B26" s="8" t="n">
        <v>0</v>
      </c>
      <c r="C26" s="32" t="n">
        <v>1</v>
      </c>
      <c r="D26" s="8" t="n">
        <f aca="false">B26*C26</f>
        <v>0</v>
      </c>
      <c r="E26" s="3" t="s">
        <v>361</v>
      </c>
    </row>
    <row r="27" customFormat="false" ht="15" hidden="false" customHeight="true" outlineLevel="0" collapsed="false">
      <c r="A27" s="3" t="s">
        <v>362</v>
      </c>
      <c r="B27" s="8" t="n">
        <v>0</v>
      </c>
      <c r="C27" s="32" t="n">
        <v>1</v>
      </c>
      <c r="D27" s="8" t="n">
        <f aca="false">B27*C27</f>
        <v>0</v>
      </c>
      <c r="E27" s="3" t="s">
        <v>363</v>
      </c>
    </row>
    <row r="28" customFormat="false" ht="15" hidden="false" customHeight="false" outlineLevel="0" collapsed="false">
      <c r="A28" s="10" t="s">
        <v>171</v>
      </c>
      <c r="B28" s="8"/>
      <c r="C28" s="32"/>
      <c r="D28" s="11" t="n">
        <f aca="false">SUM(D19:D27)</f>
        <v>185200</v>
      </c>
    </row>
    <row r="29" customFormat="false" ht="15" hidden="false" customHeight="true" outlineLevel="0" collapsed="false"/>
    <row r="30" customFormat="false" ht="15" hidden="false" customHeight="true" outlineLevel="0" collapsed="false">
      <c r="A30" s="31" t="s">
        <v>172</v>
      </c>
      <c r="B30" s="31"/>
      <c r="C30" s="31"/>
      <c r="D30" s="31"/>
      <c r="E30" s="31"/>
      <c r="F30" s="31"/>
    </row>
    <row r="31" customFormat="false" ht="15" hidden="false" customHeight="true" outlineLevel="0" collapsed="false">
      <c r="A31" s="3" t="s">
        <v>173</v>
      </c>
      <c r="D31" s="8" t="n">
        <f aca="false">Wyjaśnienia!$B$67+Wyjaśnienia!$B$68</f>
        <v>184000</v>
      </c>
    </row>
    <row r="32" customFormat="false" ht="15" hidden="false" customHeight="true" outlineLevel="0" collapsed="false">
      <c r="A32" s="3" t="s">
        <v>174</v>
      </c>
      <c r="D32" s="8" t="n">
        <f aca="false">E15</f>
        <v>63800</v>
      </c>
    </row>
    <row r="33" customFormat="false" ht="15" hidden="false" customHeight="true" outlineLevel="0" collapsed="false">
      <c r="A33" s="3" t="s">
        <v>254</v>
      </c>
      <c r="D33" s="8" t="n">
        <f aca="false">D28-D31</f>
        <v>1200</v>
      </c>
    </row>
    <row r="34" customFormat="false" ht="15" hidden="false" customHeight="true" outlineLevel="0" collapsed="false">
      <c r="A34" s="3" t="s">
        <v>176</v>
      </c>
      <c r="D34" s="8" t="n">
        <f aca="false">(D32+D33)*Wyjaśnienia!$B$74</f>
        <v>7800</v>
      </c>
    </row>
    <row r="35" customFormat="false" ht="15" hidden="false" customHeight="true" outlineLevel="0" collapsed="false">
      <c r="A35" s="10" t="s">
        <v>177</v>
      </c>
      <c r="D35" s="11" t="n">
        <f aca="false">SUM(D31:D34)</f>
        <v>256800</v>
      </c>
    </row>
    <row r="36" customFormat="false" ht="15" hidden="false" customHeight="true" outlineLevel="0" collapsed="false">
      <c r="A36" s="3" t="s">
        <v>178</v>
      </c>
      <c r="D36" s="8" t="n">
        <f aca="false">D35*Wyjaśnienia!$B$33</f>
        <v>59064</v>
      </c>
    </row>
    <row r="37" customFormat="false" ht="15" hidden="false" customHeight="false" outlineLevel="0" collapsed="false">
      <c r="A37" s="10" t="s">
        <v>179</v>
      </c>
      <c r="D37" s="11" t="n">
        <f aca="false">D35+D36</f>
        <v>315864</v>
      </c>
    </row>
  </sheetData>
  <mergeCells count="6">
    <mergeCell ref="A1:F1"/>
    <mergeCell ref="A2:F2"/>
    <mergeCell ref="A3:F3"/>
    <mergeCell ref="A5:F5"/>
    <mergeCell ref="A17:F17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364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365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366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367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368</v>
      </c>
      <c r="B12" s="26" t="n">
        <v>8000</v>
      </c>
      <c r="C12" s="22" t="n">
        <v>1</v>
      </c>
      <c r="D12" s="24" t="n">
        <f aca="false">B12*C12</f>
        <v>8000</v>
      </c>
      <c r="E12" s="15" t="s">
        <v>369</v>
      </c>
      <c r="F12" s="3"/>
      <c r="G12" s="3"/>
      <c r="H12" s="3"/>
    </row>
    <row r="13" customFormat="false" ht="15" hidden="false" customHeight="true" outlineLevel="0" collapsed="false">
      <c r="A13" s="21" t="s">
        <v>370</v>
      </c>
      <c r="B13" s="26" t="n">
        <v>1500</v>
      </c>
      <c r="C13" s="22" t="n">
        <v>1</v>
      </c>
      <c r="D13" s="24" t="n">
        <f aca="false">B13*C13</f>
        <v>1500</v>
      </c>
      <c r="E13" s="15" t="s">
        <v>371</v>
      </c>
      <c r="F13" s="3"/>
      <c r="G13" s="3"/>
      <c r="H13" s="3"/>
    </row>
    <row r="14" customFormat="false" ht="15" hidden="false" customHeight="true" outlineLevel="0" collapsed="false">
      <c r="A14" s="21" t="s">
        <v>372</v>
      </c>
      <c r="B14" s="26" t="n">
        <v>4000</v>
      </c>
      <c r="C14" s="22" t="n">
        <v>1</v>
      </c>
      <c r="D14" s="24" t="n">
        <f aca="false">B14*C14</f>
        <v>4000</v>
      </c>
      <c r="E14" s="15" t="s">
        <v>373</v>
      </c>
      <c r="F14" s="3"/>
      <c r="G14" s="3"/>
      <c r="H14" s="3"/>
    </row>
    <row r="15" customFormat="false" ht="15" hidden="false" customHeight="true" outlineLevel="0" collapsed="false">
      <c r="A15" s="21" t="s">
        <v>374</v>
      </c>
      <c r="B15" s="26" t="n">
        <v>8000</v>
      </c>
      <c r="C15" s="22" t="n">
        <v>1</v>
      </c>
      <c r="D15" s="24" t="n">
        <f aca="false">B15*C15</f>
        <v>8000</v>
      </c>
      <c r="E15" s="15" t="s">
        <v>375</v>
      </c>
      <c r="F15" s="3"/>
      <c r="G15" s="3"/>
      <c r="H15" s="3"/>
    </row>
    <row r="16" customFormat="false" ht="15" hidden="false" customHeight="true" outlineLevel="0" collapsed="false">
      <c r="A16" s="21" t="s">
        <v>376</v>
      </c>
      <c r="B16" s="26" t="n">
        <v>0</v>
      </c>
      <c r="C16" s="22" t="n">
        <v>1</v>
      </c>
      <c r="D16" s="24" t="n">
        <f aca="false">B16*C16</f>
        <v>0</v>
      </c>
      <c r="E16" s="15" t="s">
        <v>377</v>
      </c>
    </row>
    <row r="17" customFormat="false" ht="15" hidden="false" customHeight="true" outlineLevel="0" collapsed="false">
      <c r="A17" s="21" t="s">
        <v>378</v>
      </c>
      <c r="B17" s="26" t="n">
        <v>0</v>
      </c>
      <c r="C17" s="22" t="n">
        <v>1</v>
      </c>
      <c r="D17" s="24" t="n">
        <f aca="false">B17*C17</f>
        <v>0</v>
      </c>
      <c r="E17" s="15" t="s">
        <v>379</v>
      </c>
    </row>
    <row r="18" customFormat="false" ht="15" hidden="false" customHeight="true" outlineLevel="0" collapsed="false">
      <c r="A18" s="21" t="s">
        <v>380</v>
      </c>
      <c r="B18" s="26" t="n">
        <v>0</v>
      </c>
      <c r="C18" s="22" t="n">
        <v>1</v>
      </c>
      <c r="D18" s="24" t="n">
        <f aca="false">B18*C18</f>
        <v>0</v>
      </c>
      <c r="E18" s="15" t="s">
        <v>381</v>
      </c>
    </row>
    <row r="19" customFormat="false" ht="15" hidden="false" customHeight="true" outlineLevel="0" collapsed="false">
      <c r="A19" s="21" t="s">
        <v>382</v>
      </c>
      <c r="B19" s="26" t="n">
        <v>0</v>
      </c>
      <c r="C19" s="22" t="n">
        <v>1</v>
      </c>
      <c r="D19" s="24" t="n">
        <f aca="false">B19*C19</f>
        <v>0</v>
      </c>
      <c r="E19" s="15" t="s">
        <v>383</v>
      </c>
    </row>
    <row r="20" customFormat="false" ht="15" hidden="false" customHeight="true" outlineLevel="0" collapsed="false">
      <c r="A20" s="6" t="s">
        <v>171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172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174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175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384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177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178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179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2026-10-29T16:54:57Z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