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<sst xmlns="http://schemas.openxmlformats.org/spreadsheetml/2006/main" count="395" uniqueCount="292">
  <si>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</si>
  <si>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</si>
  <si>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</si>
  <si>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</si>
  <si>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</si>
  <si>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</si>
  <si>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</si>
  <si>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</si>
  <si>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</si>
  <si>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</si>
  <si>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</si>
  <si>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</si>
  <si>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</si>
  <si>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</si>
  <si>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</si>
  <si>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</si>
  <si>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</si>
  <si>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</si>
  <si>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</si>
  <si>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</si>
  <si>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</si>
  <si>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</si>
  <si>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</si>
  <si>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</si>
  <si>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</si>
  <si>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</si>
  <si>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</si>
  <si>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</si>
  <si>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</si>
  <si>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</si>
  <si>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</si>
  <si>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</si>
  <si>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</si>
  <si>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</si>
  <si>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</si>
  <si>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</si>
  <si>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</si>
  <si>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</si>
  <si>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</si>
  <si>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</si>
  <si>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</si>
  <si>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Medalion zwycięzcy i dyplomy piosenki (netto)</t>
  </si>
  <si>
    <t xml:space="preserve">Ten sam mosiężny medalion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</si>
  <si>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</si>
  <si>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</si>
  <si>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</si>
  <si>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</si>
  <si>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</si>
  <si>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</si>
  <si>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</si>
  <si>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</si>
  <si>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</si>
  <si>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</si>
  <si>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</si>
  <si>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</si>
  <si>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</si>
  <si>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</si>
  <si>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</si>
  <si>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</si>
  <si>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</si>
  <si>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</si>
  <si>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</si>
  <si>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</si>
  <si>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</si>
  <si>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</si>
  <si>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</si>
  <si>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</si>
  <si>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</si>
  <si>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</si>
  <si>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</si>
  <si>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</si>
  <si>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</si>
  <si>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</si>
  <si>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</si>
  <si>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</si>
  <si>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</si>
  <si>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</si>
  <si>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</si>
  <si>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Medalion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</si>
  <si>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</si>
  <si>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</si>
  <si>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</si>
  <si>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</si>
  <si>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</si>
  <si>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</si>
  <si>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</si>
  <si>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</si>
  <si>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</si>
  <si>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</si>
  <si>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</si>
  <si>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</si>
  <si>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</si>
  <si>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</si>
  <si>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</si>
  <si>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</si>
  <si>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</si>
  <si>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</si>
  <si>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</si>
  <si>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</si>
  <si>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</si>
  <si>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</si>
  <si>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</si>
  <si>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</si>
  <si>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</si>
  <si>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</si>
  <si>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</si>
  <si>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</si>
  <si>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</si>
  <si>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</si>
  <si>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</si>
  <si>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</si>
  <si>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</si>
  <si>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</si>
  <si>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</si>
  <si>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</si>
  <si>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</si>
  <si>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</si>
  <si>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</si>
  <si>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</si>
  <si>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</si>
  <si>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</si>
  <si>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</si>
  <si>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</si>
  <si>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</si>
  <si>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</si>
  <si>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</si>
  <si>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</si>
  <si>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</si>
  <si>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</si>
  <si>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</si>
  <si>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</si>
  <si>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</si>
  <si>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</si>
  <si>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</si>
  <si>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</si>
  <si>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</si>
  <si>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</si>
  <si>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</si>
  <si>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</si>
  <si>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</si>
  <si>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</si>
  <si>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</si>
  <si>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</si>
  <si>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</si>
  <si>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</si>
  <si>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</si>
  <si>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</si>
  <si>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</si>
  <si>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</si>
  <si>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</si>
  <si>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</si>
  <si>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</si>
  <si>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</si>
  <si>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</si>
  <si>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</si>
  <si>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</si>
  <si>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</si>
  <si>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</si>
  <si>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</si>
  <si>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</si>
  <si>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</si>
  <si>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</si>
  <si>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</si>
  <si>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</si>
  <si>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</si>
  <si>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</si>
  <si>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</si>
  <si>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</si>
  <si>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</si>
  <si>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</si>
  <si>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</si>
  <si>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</si>
  <si>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</si>
  <si>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</si>
  <si>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</si>
  <si>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</si>
  <si>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</si>
  <si>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</si>
  <si>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</si>
  <si>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</si>
  <si>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</si>
  <si>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</si>
  <si>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</si>
  <si>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</si>
  <si>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</si>
  <si>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</si>
  <si>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</si>
  <si>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</si>
  <si>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</si>
  <si>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</si>
  <si>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</si>
  <si>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</si>
  <si>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</si>
  <si>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</si>
  <si>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</si>
  <si>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</si>
  <si>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</si>
  <si>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</si>
  <si>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</si>
  <si>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</si>
  <si>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</si>
  <si>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</si>
  <si>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</si>
  <si>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</si>
  <si>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</si>
  <si>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</si>
  <si>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</si>
  <si>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</si>
  <si>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</si>
  <si>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</si>
  <si>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</si>
  <si>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</si>
  <si>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</si>
  <si>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</si>
  <si>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</si>
  <si>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</si>
  <si>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</si>
  <si>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</si>
  <si>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</si>
  <si>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</si>
  <si>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</si>
  <si>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Medalion zwycięzcy i dyplomy finalistów (netto)</t>
  </si>
  <si>
    <t xml:space="preserve">ten sam medalion, który otrzymuje laureat konkursu rozmów; dyplomy dla całej dziesiątki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</si>
  <si>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</si>
  <si>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</si>
  <si>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</si>
  <si>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</si>
  <si>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</si>
  <si>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</si>
  <si>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</si>
  <si>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</si>
  <si>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</si>
  <si>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</si>
  <si>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</si>
  <si>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</si>
  <si>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</si>
  <si>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</si>
  <si>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</si>
  <si>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</si>
  <si>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</si>
  <si>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</si>
  <si>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</si>
  <si>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</si>
  <si>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</si>
  <si>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</si>
  <si>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</si>
  <si>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</si>
  <si>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</si>
  <si>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</si>
  <si>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</si>
  <si>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</si>
  <si>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</si>
  <si>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</si>
  <si>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</si>
  <si>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</si>
  <si>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</si>
  <si>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</si>
  <si>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</si>
  <si>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</si>
  <si>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</si>
  <si>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</si>
  <si>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</si>
  <si>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</si>
  <si>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</si>
  <si>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</si>
  <si>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</si>
  <si>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</si>
  <si>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</si>
  <si>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</si>
  <si>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</si>
  <si>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</si>
  <si>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</si>
  <si>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</si>
  <si>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</si>
  <si>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</si>
  <si>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</si>
  <si>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</si>
  <si>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</si>
  <si>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</si>
  <si>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</si>
  <si>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</si>
  <si>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</si>
  <si>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</si>
  <si>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</si>
  <si>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</si>
  <si>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</si>
  <si>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liczy czytelników od liczby ODCZYTÓW, nie od liczby zgłoszeń - przy dwóch odczytach na zgłoszenie i limicie 20 zgłoszeń na czytelnika 150 zgłoszeń wymaga 15 osób, nie 8.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</si>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</sst>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1311466.8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1200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1200</v>
      </c>
      <c r="C52" s="1" t="s">
        <v>42</v>
      </c>
    </row>
    <row r="53" customFormat="false" ht="15" hidden="false" customHeight="true" outlineLevel="0" collapsed="false">
      <c r="A53" s="1" t="s">
        <v>79</v>
      </c>
      <c r="B53" s="18" t="n">
        <v>5</v>
      </c>
      <c r="C53" s="1" t="s">
        <v>80</v>
      </c>
    </row>
    <row r="54" customFormat="false" ht="15" hidden="false" customHeight="true" outlineLevel="0" collapsed="false">
      <c r="A54" s="1" t="s">
        <v>81</v>
      </c>
      <c r="B54" s="18" t="n">
        <v>10</v>
      </c>
      <c r="C54" s="1" t="s">
        <v>82</v>
      </c>
    </row>
    <row r="55" customFormat="false" ht="15" hidden="false" customHeight="true" outlineLevel="0" collapsed="false">
      <c r="A55" s="1" t="s">
        <v>83</v>
      </c>
      <c r="B55" s="16" t="n">
        <v>290</v>
      </c>
      <c r="C55" s="1" t="s">
        <v>84</v>
      </c>
    </row>
    <row r="56" customFormat="false" ht="15" hidden="false" customHeight="true" outlineLevel="0" collapsed="false">
      <c r="A56" s="1" t="s">
        <v>85</v>
      </c>
      <c r="B56" s="18" t="n">
        <v>10</v>
      </c>
      <c r="C56" s="1" t="s">
        <v>86</v>
      </c>
    </row>
    <row r="57" customFormat="false" ht="15" hidden="false" customHeight="true" outlineLevel="0" collapsed="false">
      <c r="A57" s="1" t="s">
        <v>87</v>
      </c>
      <c r="B57" s="16" t="n">
        <v>400</v>
      </c>
      <c r="C57" s="1" t="s">
        <v>88</v>
      </c>
    </row>
    <row r="58" customFormat="false" ht="15" hidden="false" customHeight="true" outlineLevel="0" collapsed="false">
      <c r="A58" s="1" t="s">
        <v>89</v>
      </c>
      <c r="B58" s="16" t="n">
        <v>3000</v>
      </c>
      <c r="C58" s="1" t="s">
        <v>90</v>
      </c>
    </row>
    <row r="59" customFormat="false" ht="15" hidden="false" customHeight="true" outlineLevel="0" collapsed="false">
      <c r="A59" s="1" t="s">
        <v>91</v>
      </c>
      <c r="B59" s="14" t="n">
        <v>0.12</v>
      </c>
      <c r="C59" s="1" t="s">
        <v>92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94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95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96</v>
      </c>
      <c r="B6" s="7" t="s">
        <v>97</v>
      </c>
      <c r="C6" s="7" t="s">
        <v>98</v>
      </c>
      <c r="D6" s="7" t="s">
        <v>99</v>
      </c>
      <c r="E6" s="7" t="s">
        <v>100</v>
      </c>
      <c r="F6" s="6" t="s">
        <v>101</v>
      </c>
      <c r="G6" s="3"/>
      <c r="H6" s="3"/>
    </row>
    <row r="7" customFormat="false" ht="15" hidden="false" customHeight="true" outlineLevel="0" collapsed="false">
      <c r="A7" s="19" t="s">
        <v>102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103</v>
      </c>
      <c r="G7" s="3"/>
      <c r="H7" s="3"/>
    </row>
    <row r="8" customFormat="false" ht="15" hidden="false" customHeight="true" outlineLevel="0" collapsed="false">
      <c r="A8" s="19" t="s">
        <v>104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105</v>
      </c>
      <c r="G8" s="3"/>
      <c r="H8" s="3"/>
    </row>
    <row r="9" customFormat="false" ht="15" hidden="false" customHeight="true" outlineLevel="0" collapsed="false">
      <c r="A9" s="19" t="s">
        <v>106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107</v>
      </c>
      <c r="G9" s="3"/>
      <c r="H9" s="3"/>
    </row>
    <row r="10" customFormat="false" ht="15" hidden="false" customHeight="true" outlineLevel="0" collapsed="false">
      <c r="A10" s="19" t="s">
        <v>108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109</v>
      </c>
      <c r="G10" s="3"/>
      <c r="H10" s="3"/>
    </row>
    <row r="11" customFormat="false" ht="15" hidden="false" customHeight="true" outlineLevel="0" collapsed="false">
      <c r="A11" s="19" t="s">
        <v>110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111</v>
      </c>
      <c r="G11" s="3"/>
      <c r="H11" s="3"/>
    </row>
    <row r="12" customFormat="false" ht="15" hidden="false" customHeight="true" outlineLevel="0" collapsed="false">
      <c r="A12" s="19" t="s">
        <v>112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113</v>
      </c>
      <c r="G12" s="3"/>
      <c r="H12" s="3"/>
    </row>
    <row r="13" customFormat="false" ht="15" hidden="false" customHeight="true" outlineLevel="0" collapsed="false">
      <c r="A13" s="19" t="s">
        <v>114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115</v>
      </c>
      <c r="G13" s="3"/>
      <c r="H13" s="3"/>
    </row>
    <row r="14" customFormat="false" ht="15" hidden="false" customHeight="true" outlineLevel="0" collapsed="false">
      <c r="A14" s="19" t="s">
        <v>116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117</v>
      </c>
      <c r="G14" s="3"/>
      <c r="H14" s="3"/>
    </row>
    <row r="15" customFormat="false" ht="15" hidden="false" customHeight="true" outlineLevel="0" collapsed="false">
      <c r="A15" s="19" t="s">
        <v>118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119</v>
      </c>
      <c r="G15" s="3"/>
      <c r="H15" s="3"/>
    </row>
    <row r="16" customFormat="false" ht="15" hidden="false" customHeight="true" outlineLevel="0" collapsed="false">
      <c r="A16" s="19" t="s">
        <v>120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121</v>
      </c>
      <c r="G16" s="3"/>
      <c r="H16" s="3"/>
    </row>
    <row r="17" customFormat="false" ht="15" hidden="false" customHeight="true" outlineLevel="0" collapsed="false">
      <c r="A17" s="19" t="s">
        <v>122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123</v>
      </c>
      <c r="G17" s="3"/>
      <c r="H17" s="3"/>
    </row>
    <row r="18" customFormat="false" ht="15" hidden="false" customHeight="true" outlineLevel="0" collapsed="false">
      <c r="A18" s="6" t="s">
        <v>124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125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96</v>
      </c>
      <c r="B21" s="7" t="s">
        <v>126</v>
      </c>
      <c r="C21" s="7" t="s">
        <v>127</v>
      </c>
      <c r="D21" s="7" t="s">
        <v>100</v>
      </c>
      <c r="E21" s="6" t="s">
        <v>101</v>
      </c>
      <c r="F21" s="3"/>
      <c r="G21" s="3"/>
      <c r="H21" s="3"/>
    </row>
    <row r="22" customFormat="false" ht="15" hidden="false" customHeight="true" outlineLevel="0" collapsed="false">
      <c r="A22" s="19" t="s">
        <v>128</v>
      </c>
      <c r="B22" s="24" t="n">
        <v>8000</v>
      </c>
      <c r="C22" s="20" t="n">
        <v>1</v>
      </c>
      <c r="D22" s="22" t="n">
        <f aca="false">B22*C22</f>
        <v>8000</v>
      </c>
      <c r="E22" s="13" t="s">
        <v>129</v>
      </c>
      <c r="F22" s="3"/>
      <c r="G22" s="3"/>
      <c r="H22" s="3"/>
    </row>
    <row r="23" customFormat="false" ht="15" hidden="false" customHeight="true" outlineLevel="0" collapsed="false">
      <c r="A23" s="19" t="s">
        <v>130</v>
      </c>
      <c r="B23" s="24" t="n">
        <v>1500</v>
      </c>
      <c r="C23" s="20" t="n">
        <v>1</v>
      </c>
      <c r="D23" s="22" t="n">
        <f aca="false">B23*C23</f>
        <v>1500</v>
      </c>
      <c r="E23" s="13" t="s">
        <v>131</v>
      </c>
      <c r="F23" s="3"/>
      <c r="G23" s="3"/>
      <c r="H23" s="3"/>
    </row>
    <row r="24" customFormat="false" ht="15" hidden="false" customHeight="true" outlineLevel="0" collapsed="false">
      <c r="A24" s="19" t="s">
        <v>132</v>
      </c>
      <c r="B24" s="24" t="n">
        <v>1200</v>
      </c>
      <c r="C24" s="20" t="n">
        <v>1</v>
      </c>
      <c r="D24" s="22" t="n">
        <f aca="false">B24*C24</f>
        <v>1200</v>
      </c>
      <c r="E24" s="13" t="s">
        <v>133</v>
      </c>
      <c r="F24" s="3"/>
      <c r="G24" s="3"/>
      <c r="H24" s="3"/>
    </row>
    <row r="25" customFormat="false" ht="15" hidden="false" customHeight="true" outlineLevel="0" collapsed="false">
      <c r="A25" s="19" t="s">
        <v>134</v>
      </c>
      <c r="B25" s="24" t="n">
        <v>4000</v>
      </c>
      <c r="C25" s="20" t="n">
        <v>1</v>
      </c>
      <c r="D25" s="22" t="n">
        <f aca="false">B25*C25</f>
        <v>4000</v>
      </c>
      <c r="E25" s="13" t="s">
        <v>135</v>
      </c>
      <c r="F25" s="3"/>
      <c r="G25" s="3"/>
      <c r="H25" s="3"/>
    </row>
    <row r="26" customFormat="false" ht="15" hidden="false" customHeight="true" outlineLevel="0" collapsed="false">
      <c r="A26" s="19" t="s">
        <v>136</v>
      </c>
      <c r="B26" s="24" t="n">
        <v>1500</v>
      </c>
      <c r="C26" s="20" t="n">
        <v>1</v>
      </c>
      <c r="D26" s="22" t="n">
        <f aca="false">B26*C26</f>
        <v>1500</v>
      </c>
      <c r="E26" s="13" t="s">
        <v>137</v>
      </c>
      <c r="F26" s="3"/>
      <c r="G26" s="3"/>
      <c r="H26" s="3"/>
    </row>
    <row r="27" customFormat="false" ht="15" hidden="false" customHeight="true" outlineLevel="0" collapsed="false">
      <c r="A27" s="19" t="s">
        <v>138</v>
      </c>
      <c r="B27" s="24" t="n">
        <v>250</v>
      </c>
      <c r="C27" s="20" t="n">
        <v>1</v>
      </c>
      <c r="D27" s="22" t="n">
        <f aca="false">B27*C27</f>
        <v>250</v>
      </c>
      <c r="E27" s="13" t="s">
        <v>139</v>
      </c>
      <c r="F27" s="3"/>
      <c r="G27" s="3"/>
      <c r="H27" s="3"/>
    </row>
    <row r="28" customFormat="false" ht="15" hidden="false" customHeight="true" outlineLevel="0" collapsed="false">
      <c r="A28" s="19" t="s">
        <v>140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141</v>
      </c>
      <c r="F28" s="3" t="s">
        <v>142</v>
      </c>
      <c r="G28" s="3"/>
      <c r="H28" s="3"/>
    </row>
    <row r="29" customFormat="false" ht="15" hidden="false" customHeight="true" outlineLevel="0" collapsed="false">
      <c r="A29" s="19" t="s">
        <v>143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144</v>
      </c>
      <c r="F29" s="3"/>
      <c r="G29" s="3"/>
      <c r="H29" s="3"/>
    </row>
    <row r="30" customFormat="false" ht="15" hidden="false" customHeight="true" outlineLevel="0" collapsed="false">
      <c r="A30" s="19" t="s">
        <v>145</v>
      </c>
      <c r="B30" s="24" t="n">
        <v>8000</v>
      </c>
      <c r="C30" s="20" t="n">
        <v>1</v>
      </c>
      <c r="D30" s="22" t="n">
        <f aca="false">B30*C30</f>
        <v>8000</v>
      </c>
      <c r="E30" s="13" t="s">
        <v>146</v>
      </c>
      <c r="F30" s="3"/>
      <c r="G30" s="3"/>
      <c r="H30" s="3"/>
    </row>
    <row r="31" customFormat="false" ht="15" hidden="false" customHeight="true" outlineLevel="0" collapsed="false">
      <c r="A31" s="19" t="s">
        <v>147</v>
      </c>
      <c r="B31" s="24" t="n">
        <v>0</v>
      </c>
      <c r="C31" s="20" t="n">
        <v>1</v>
      </c>
      <c r="D31" s="22" t="n">
        <f aca="false">B31*C31</f>
        <v>0</v>
      </c>
      <c r="E31" s="13" t="s">
        <v>148</v>
      </c>
      <c r="F31" s="3"/>
      <c r="G31" s="3"/>
      <c r="H31" s="3"/>
    </row>
    <row r="32" customFormat="false" ht="15" hidden="false" customHeight="true" outlineLevel="0" collapsed="false">
      <c r="A32" s="6" t="s">
        <v>149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151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152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153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154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155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156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157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94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95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96</v>
      </c>
      <c r="B6" s="7" t="s">
        <v>97</v>
      </c>
      <c r="C6" s="7" t="s">
        <v>98</v>
      </c>
      <c r="D6" s="7" t="s">
        <v>99</v>
      </c>
      <c r="E6" s="7" t="s">
        <v>100</v>
      </c>
      <c r="F6" s="6" t="s">
        <v>101</v>
      </c>
      <c r="G6" s="3"/>
      <c r="H6" s="3"/>
    </row>
    <row r="7" customFormat="false" ht="15" hidden="false" customHeight="true" outlineLevel="0" collapsed="false">
      <c r="A7" s="19" t="s">
        <v>159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160</v>
      </c>
      <c r="G7" s="3"/>
      <c r="H7" s="3"/>
    </row>
    <row r="8" customFormat="false" ht="15" hidden="false" customHeight="true" outlineLevel="0" collapsed="false">
      <c r="A8" s="19" t="s">
        <v>161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162</v>
      </c>
      <c r="G8" s="3"/>
      <c r="H8" s="3"/>
    </row>
    <row r="9" customFormat="false" ht="15" hidden="false" customHeight="true" outlineLevel="0" collapsed="false">
      <c r="A9" s="19" t="s">
        <v>163</v>
      </c>
      <c r="B9" s="20" t="n">
        <v>0</v>
      </c>
      <c r="C9" s="20" t="n">
        <v>4</v>
      </c>
      <c r="D9" s="21" t="n">
        <f aca="false">B9+C9*Wyjaśnienia!$B$15/60</f>
        <v>10</v>
      </c>
      <c r="E9" s="22" t="n">
        <f aca="false">D9*Wyjaśnienia!$B$14</f>
        <v>2200</v>
      </c>
      <c r="F9" s="13" t="s">
        <v>164</v>
      </c>
      <c r="G9" s="3"/>
      <c r="H9" s="3"/>
    </row>
    <row r="10" customFormat="false" ht="15" hidden="false" customHeight="true" outlineLevel="0" collapsed="false">
      <c r="A10" s="19" t="s">
        <v>165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166</v>
      </c>
      <c r="G10" s="3"/>
      <c r="H10" s="3"/>
    </row>
    <row r="11" customFormat="false" ht="15" hidden="false" customHeight="true" outlineLevel="0" collapsed="false">
      <c r="A11" s="19" t="s">
        <v>167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168</v>
      </c>
      <c r="G11" s="3"/>
      <c r="H11" s="3"/>
    </row>
    <row r="12" customFormat="false" ht="15" hidden="false" customHeight="true" outlineLevel="0" collapsed="false">
      <c r="A12" s="19" t="s">
        <v>169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170</v>
      </c>
      <c r="G12" s="3"/>
      <c r="H12" s="3"/>
    </row>
    <row r="13" customFormat="false" ht="15" hidden="false" customHeight="true" outlineLevel="0" collapsed="false">
      <c r="A13" s="19" t="s">
        <v>171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172</v>
      </c>
      <c r="G13" s="3"/>
      <c r="H13" s="3"/>
    </row>
    <row r="14" customFormat="false" ht="15" hidden="false" customHeight="true" outlineLevel="0" collapsed="false">
      <c r="A14" s="19" t="s">
        <v>173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124</v>
      </c>
      <c r="B15" s="3"/>
      <c r="C15" s="3"/>
      <c r="D15" s="23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125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96</v>
      </c>
      <c r="B18" s="7" t="s">
        <v>126</v>
      </c>
      <c r="C18" s="7" t="s">
        <v>127</v>
      </c>
      <c r="D18" s="7" t="s">
        <v>100</v>
      </c>
      <c r="E18" s="6" t="s">
        <v>101</v>
      </c>
      <c r="F18" s="3"/>
      <c r="G18" s="3"/>
      <c r="H18" s="3"/>
    </row>
    <row r="19" customFormat="false" ht="15" hidden="false" customHeight="true" outlineLevel="0" collapsed="false">
      <c r="A19" s="19" t="s">
        <v>174</v>
      </c>
      <c r="B19" s="24" t="n">
        <v>3000</v>
      </c>
      <c r="C19" s="20" t="n">
        <v>1</v>
      </c>
      <c r="D19" s="22" t="n">
        <f aca="false">B19*C19</f>
        <v>3000</v>
      </c>
      <c r="E19" s="13" t="s">
        <v>175</v>
      </c>
      <c r="F19" s="3"/>
      <c r="G19" s="3"/>
      <c r="H19" s="3"/>
    </row>
    <row r="20" customFormat="false" ht="15" hidden="false" customHeight="true" outlineLevel="0" collapsed="false">
      <c r="A20" s="19" t="s">
        <v>176</v>
      </c>
      <c r="B20" s="24" t="n">
        <v>6000</v>
      </c>
      <c r="C20" s="20" t="n">
        <v>1</v>
      </c>
      <c r="D20" s="22" t="n">
        <f aca="false">B20*C20</f>
        <v>6000</v>
      </c>
      <c r="E20" s="13" t="s">
        <v>177</v>
      </c>
      <c r="F20" s="3" t="s">
        <v>178</v>
      </c>
      <c r="G20" s="3"/>
      <c r="H20" s="3"/>
    </row>
    <row r="21" customFormat="false" ht="15" hidden="false" customHeight="true" outlineLevel="0" collapsed="false">
      <c r="A21" s="19" t="s">
        <v>179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180</v>
      </c>
      <c r="F21" s="3"/>
      <c r="G21" s="3"/>
      <c r="H21" s="3"/>
    </row>
    <row r="22" customFormat="false" ht="15" hidden="false" customHeight="true" outlineLevel="0" collapsed="false">
      <c r="A22" s="19" t="s">
        <v>181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182</v>
      </c>
      <c r="F22" s="3"/>
      <c r="G22" s="3"/>
      <c r="H22" s="3"/>
    </row>
    <row r="23" customFormat="false" ht="15" hidden="false" customHeight="true" outlineLevel="0" collapsed="false">
      <c r="A23" s="19" t="s">
        <v>183</v>
      </c>
      <c r="B23" s="24" t="n">
        <v>4000</v>
      </c>
      <c r="C23" s="20" t="n">
        <v>1</v>
      </c>
      <c r="D23" s="22" t="n">
        <f aca="false">B23*C23</f>
        <v>4000</v>
      </c>
      <c r="E23" s="13" t="s">
        <v>184</v>
      </c>
      <c r="F23" s="3"/>
      <c r="G23" s="3"/>
      <c r="H23" s="3"/>
    </row>
    <row r="24" customFormat="false" ht="15" hidden="false" customHeight="true" outlineLevel="0" collapsed="false">
      <c r="A24" s="19" t="s">
        <v>185</v>
      </c>
      <c r="B24" s="24" t="n">
        <v>3000</v>
      </c>
      <c r="C24" s="20" t="n">
        <v>1</v>
      </c>
      <c r="D24" s="22" t="n">
        <f aca="false">B24*C24</f>
        <v>3000</v>
      </c>
      <c r="E24" s="13" t="s">
        <v>186</v>
      </c>
      <c r="F24" s="3"/>
      <c r="G24" s="3"/>
      <c r="H24" s="3"/>
    </row>
    <row r="25" customFormat="false" ht="15" hidden="false" customHeight="true" outlineLevel="0" collapsed="false">
      <c r="A25" s="19" t="s">
        <v>187</v>
      </c>
      <c r="B25" s="24" t="n">
        <v>4000</v>
      </c>
      <c r="C25" s="20" t="n">
        <v>1</v>
      </c>
      <c r="D25" s="22" t="n">
        <f aca="false">B25*C25</f>
        <v>4000</v>
      </c>
      <c r="E25" s="13" t="s">
        <v>188</v>
      </c>
      <c r="F25" s="3"/>
      <c r="G25" s="3"/>
      <c r="H25" s="3"/>
    </row>
    <row r="26" customFormat="false" ht="15" hidden="false" customHeight="true" outlineLevel="0" collapsed="false">
      <c r="A26" s="19" t="s">
        <v>189</v>
      </c>
      <c r="B26" s="24" t="n">
        <v>0</v>
      </c>
      <c r="C26" s="20" t="n">
        <v>1</v>
      </c>
      <c r="D26" s="22" t="n">
        <f aca="false">B26*C26</f>
        <v>0</v>
      </c>
      <c r="E26" s="13" t="s">
        <v>190</v>
      </c>
      <c r="F26" s="3"/>
      <c r="G26" s="3"/>
      <c r="H26" s="3"/>
    </row>
    <row r="27" customFormat="false" ht="15" hidden="false" customHeight="true" outlineLevel="0" collapsed="false">
      <c r="A27" s="19" t="s">
        <v>191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192</v>
      </c>
      <c r="F27" s="3"/>
      <c r="G27" s="3"/>
      <c r="H27" s="3"/>
    </row>
    <row r="28" customFormat="false" ht="15" hidden="false" customHeight="true" outlineLevel="0" collapsed="false">
      <c r="A28" s="19" t="s">
        <v>193</v>
      </c>
      <c r="B28" s="24" t="n">
        <v>6000</v>
      </c>
      <c r="C28" s="20" t="n">
        <v>1</v>
      </c>
      <c r="D28" s="22" t="n">
        <f aca="false">B28*C28</f>
        <v>6000</v>
      </c>
      <c r="E28" s="13" t="s">
        <v>194</v>
      </c>
      <c r="F28" s="3"/>
      <c r="G28" s="3"/>
      <c r="H28" s="3"/>
    </row>
    <row r="29" customFormat="false" ht="15" hidden="false" customHeight="true" outlineLevel="0" collapsed="false">
      <c r="A29" s="19" t="s">
        <v>195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196</v>
      </c>
      <c r="F29" s="3"/>
      <c r="G29" s="3"/>
      <c r="H29" s="3"/>
    </row>
    <row r="30" customFormat="false" ht="15" hidden="false" customHeight="true" outlineLevel="0" collapsed="false">
      <c r="A30" s="26" t="s">
        <v>197</v>
      </c>
      <c r="B30" s="16" t="n">
        <v>4500</v>
      </c>
      <c r="C30" s="27" t="n">
        <v>1</v>
      </c>
      <c r="D30" s="8" t="n">
        <f aca="false">B30*C30</f>
        <v>4500</v>
      </c>
      <c r="F30" s="26" t="s">
        <v>198</v>
      </c>
    </row>
    <row r="31" customFormat="false" ht="15" hidden="false" customHeight="true" outlineLevel="0" collapsed="false">
      <c r="A31" s="26" t="s">
        <v>199</v>
      </c>
      <c r="B31" s="16" t="n">
        <v>0</v>
      </c>
      <c r="C31" s="27" t="n">
        <v>1</v>
      </c>
      <c r="D31" s="8" t="n">
        <f aca="false">B31*C31</f>
        <v>0</v>
      </c>
      <c r="E31" s="1" t="s">
        <v>200</v>
      </c>
      <c r="F31" s="26"/>
    </row>
    <row r="32" customFormat="false" ht="15" hidden="false" customHeight="true" outlineLevel="0" collapsed="false">
      <c r="A32" s="6" t="s">
        <v>149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201</v>
      </c>
      <c r="B37" s="3"/>
      <c r="C37" s="3"/>
      <c r="D37" s="8" t="n">
        <f aca="false">(D35+D36)*Wyjaśnienia!$B$27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155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156</v>
      </c>
      <c r="B39" s="3"/>
      <c r="C39" s="3"/>
      <c r="D39" s="8" t="n">
        <f aca="false">D38*Wyjaśnienia!$B$29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157</v>
      </c>
      <c r="B40" s="3"/>
      <c r="C40" s="3"/>
      <c r="D40" s="25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94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95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96</v>
      </c>
      <c r="B6" s="7" t="s">
        <v>97</v>
      </c>
      <c r="C6" s="7" t="s">
        <v>98</v>
      </c>
      <c r="D6" s="7" t="s">
        <v>99</v>
      </c>
      <c r="E6" s="7" t="s">
        <v>100</v>
      </c>
      <c r="F6" s="6" t="s">
        <v>101</v>
      </c>
      <c r="G6" s="3"/>
      <c r="H6" s="3"/>
    </row>
    <row r="7" customFormat="false" ht="15" hidden="false" customHeight="true" outlineLevel="0" collapsed="false">
      <c r="A7" s="19" t="s">
        <v>203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204</v>
      </c>
      <c r="G7" s="3"/>
      <c r="H7" s="3"/>
    </row>
    <row r="8" customFormat="false" ht="15" hidden="false" customHeight="true" outlineLevel="0" collapsed="false">
      <c r="A8" s="19" t="s">
        <v>205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206</v>
      </c>
      <c r="G8" s="3"/>
      <c r="H8" s="3"/>
    </row>
    <row r="9" customFormat="false" ht="15" hidden="false" customHeight="true" outlineLevel="0" collapsed="false">
      <c r="A9" s="19" t="s">
        <v>207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208</v>
      </c>
      <c r="G9" s="3"/>
      <c r="H9" s="3"/>
    </row>
    <row r="10" customFormat="false" ht="15" hidden="false" customHeight="true" outlineLevel="0" collapsed="false">
      <c r="A10" s="19" t="s">
        <v>209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210</v>
      </c>
      <c r="G10" s="3"/>
      <c r="H10" s="3"/>
    </row>
    <row r="11" customFormat="false" ht="15" hidden="false" customHeight="true" outlineLevel="0" collapsed="false">
      <c r="A11" s="19" t="s">
        <v>211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212</v>
      </c>
      <c r="G11" s="3"/>
      <c r="H11" s="3"/>
    </row>
    <row r="12" customFormat="false" ht="15" hidden="false" customHeight="true" outlineLevel="0" collapsed="false">
      <c r="A12" s="6" t="s">
        <v>124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213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125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96</v>
      </c>
      <c r="B15" s="7" t="s">
        <v>126</v>
      </c>
      <c r="C15" s="7" t="s">
        <v>127</v>
      </c>
      <c r="D15" s="7" t="s">
        <v>100</v>
      </c>
      <c r="E15" s="6" t="s">
        <v>101</v>
      </c>
      <c r="F15" s="3"/>
      <c r="G15" s="3"/>
      <c r="H15" s="3"/>
    </row>
    <row r="16" customFormat="false" ht="15" hidden="false" customHeight="true" outlineLevel="0" collapsed="false">
      <c r="A16" s="19" t="s">
        <v>214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215</v>
      </c>
      <c r="F16" s="3"/>
      <c r="G16" s="3"/>
      <c r="H16" s="3"/>
    </row>
    <row r="17" customFormat="false" ht="15" hidden="false" customHeight="true" outlineLevel="0" collapsed="false">
      <c r="A17" s="19" t="s">
        <v>216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217</v>
      </c>
      <c r="F17" s="3"/>
      <c r="G17" s="3"/>
      <c r="H17" s="3"/>
    </row>
    <row r="18" customFormat="false" ht="15" hidden="false" customHeight="true" outlineLevel="0" collapsed="false">
      <c r="A18" s="19" t="s">
        <v>218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219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220</v>
      </c>
      <c r="F19" s="3"/>
      <c r="G19" s="3"/>
      <c r="H19" s="3"/>
    </row>
    <row r="20" customFormat="false" ht="15" hidden="false" customHeight="true" outlineLevel="0" collapsed="false">
      <c r="A20" s="19" t="s">
        <v>221</v>
      </c>
      <c r="B20" s="22" t="n">
        <f aca="false">Wyjaśnienia!$B$25</f>
        <v>1200</v>
      </c>
      <c r="C20" s="20" t="n">
        <v>1</v>
      </c>
      <c r="D20" s="22" t="n">
        <f aca="false">B20*C20</f>
        <v>1200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149</v>
      </c>
      <c r="B25" s="3"/>
      <c r="C25" s="3"/>
      <c r="D25" s="23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150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151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152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154</v>
      </c>
      <c r="B31" s="3"/>
      <c r="C31" s="3"/>
      <c r="D31" s="8" t="n">
        <f aca="false">(D29+D30)*Wyjaśnienia!$B$28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155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156</v>
      </c>
      <c r="B33" s="3"/>
      <c r="C33" s="3"/>
      <c r="D33" s="8" t="n">
        <f aca="false">D32*Wyjaśnienia!$B$29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157</v>
      </c>
      <c r="B34" s="3"/>
      <c r="C34" s="3"/>
      <c r="D34" s="25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94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95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96</v>
      </c>
      <c r="B6" s="10" t="s">
        <v>97</v>
      </c>
      <c r="C6" s="10" t="s">
        <v>98</v>
      </c>
      <c r="D6" s="10" t="s">
        <v>99</v>
      </c>
      <c r="E6" s="10" t="s">
        <v>100</v>
      </c>
      <c r="F6" s="10" t="s">
        <v>101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209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124</v>
      </c>
      <c r="D14" s="31" t="n">
        <f aca="false">SUM(D7:D13)</f>
        <v>190</v>
      </c>
      <c r="E14" s="11" t="n">
        <f aca="false">SUM(E7:E13)</f>
        <v>41800</v>
      </c>
      <c r="F14" s="3" t="s">
        <v>213</v>
      </c>
    </row>
    <row r="16" customFormat="false" ht="15" hidden="false" customHeight="true" outlineLevel="0" collapsed="false">
      <c r="A16" s="29" t="s">
        <v>125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96</v>
      </c>
      <c r="B17" s="10" t="s">
        <v>126</v>
      </c>
      <c r="C17" s="10" t="s">
        <v>127</v>
      </c>
      <c r="D17" s="10" t="s">
        <v>100</v>
      </c>
      <c r="E17" s="10" t="s">
        <v>101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221</v>
      </c>
      <c r="B20" s="8" t="n">
        <f aca="false">Wyjaśnienia!$B$52</f>
        <v>1200</v>
      </c>
      <c r="C20" s="30" t="n">
        <v>1</v>
      </c>
      <c r="D20" s="8" t="n">
        <f aca="false">B20*C20</f>
        <v>1200</v>
      </c>
      <c r="E20" s="3" t="s">
        <v>222</v>
      </c>
    </row>
    <row r="21" customFormat="false" ht="15" hidden="false" customHeight="true" outlineLevel="0" collapsed="false">
      <c r="A21" s="3" t="s">
        <v>251</v>
      </c>
      <c r="B21" s="16" t="n">
        <v>0</v>
      </c>
      <c r="C21" s="30" t="n">
        <v>1</v>
      </c>
      <c r="D21" s="8" t="n">
        <f aca="false">B21*C21</f>
        <v>0</v>
      </c>
      <c r="E21" s="3" t="s">
        <v>252</v>
      </c>
    </row>
    <row r="22" customFormat="false" ht="15" hidden="false" customHeight="true" outlineLevel="0" collapsed="false">
      <c r="A22" s="3" t="s">
        <v>253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254</v>
      </c>
    </row>
    <row r="23" customFormat="false" ht="15" hidden="false" customHeight="true" outlineLevel="0" collapsed="false">
      <c r="A23" s="3" t="s">
        <v>89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255</v>
      </c>
    </row>
    <row r="24" customFormat="false" ht="15" hidden="false" customHeight="true" outlineLevel="0" collapsed="false">
      <c r="A24" s="3" t="s">
        <v>256</v>
      </c>
      <c r="B24" s="16" t="n">
        <v>0</v>
      </c>
      <c r="C24" s="30" t="n">
        <v>1</v>
      </c>
      <c r="D24" s="8" t="n">
        <f aca="false">B24*C24</f>
        <v>0</v>
      </c>
      <c r="E24" s="3" t="s">
        <v>257</v>
      </c>
    </row>
    <row r="25" customFormat="false" ht="15" hidden="false" customHeight="true" outlineLevel="0" collapsed="false">
      <c r="A25" s="3" t="s">
        <v>258</v>
      </c>
      <c r="B25" s="16" t="n">
        <v>0</v>
      </c>
      <c r="C25" s="30" t="n">
        <v>1</v>
      </c>
      <c r="D25" s="8" t="n">
        <f aca="false">B25*C25</f>
        <v>0</v>
      </c>
      <c r="E25" s="3" t="s">
        <v>259</v>
      </c>
    </row>
    <row r="26" customFormat="false" ht="15" hidden="false" customHeight="true" outlineLevel="0" collapsed="false">
      <c r="A26" s="3" t="s">
        <v>260</v>
      </c>
      <c r="B26" s="16" t="n">
        <v>0</v>
      </c>
      <c r="C26" s="30" t="n">
        <v>1</v>
      </c>
      <c r="D26" s="8" t="n">
        <f aca="false">B26*C26</f>
        <v>0</v>
      </c>
      <c r="E26" s="3" t="s">
        <v>261</v>
      </c>
    </row>
    <row r="27" customFormat="false" ht="15" hidden="false" customHeight="true" outlineLevel="0" collapsed="false">
      <c r="A27" s="10" t="s">
        <v>149</v>
      </c>
      <c r="D27" s="11" t="n">
        <f aca="false">SUM(D18:D26)</f>
        <v>105200</v>
      </c>
    </row>
    <row r="29" customFormat="false" ht="15" hidden="false" customHeight="true" outlineLevel="0" collapsed="false">
      <c r="A29" s="29" t="s">
        <v>150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151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152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154</v>
      </c>
      <c r="D33" s="8" t="n">
        <f aca="false">(D31+D32)*Wyjaśnienia!$B$59</f>
        <v>6480</v>
      </c>
    </row>
    <row r="34" customFormat="false" ht="15" hidden="false" customHeight="true" outlineLevel="0" collapsed="false">
      <c r="A34" s="10" t="s">
        <v>155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156</v>
      </c>
      <c r="D35" s="8" t="n">
        <f aca="false">D34*Wyjaśnienia!$B$29</f>
        <v>35300.4</v>
      </c>
    </row>
    <row r="36" customFormat="false" ht="15" hidden="false" customHeight="true" outlineLevel="0" collapsed="false">
      <c r="A36" s="10" t="s">
        <v>157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262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263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264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96</v>
      </c>
      <c r="B6" s="35" t="s">
        <v>265</v>
      </c>
      <c r="C6" s="26"/>
      <c r="D6" s="26"/>
      <c r="E6" s="26"/>
      <c r="F6" s="34" t="s">
        <v>101</v>
      </c>
    </row>
    <row r="7" customFormat="false" ht="15" hidden="false" customHeight="true" outlineLevel="0" collapsed="false">
      <c r="A7" s="26" t="s">
        <v>266</v>
      </c>
      <c r="B7" s="36" t="n">
        <f aca="false">Wyjaśnienia!$B$15</f>
        <v>150</v>
      </c>
      <c r="C7" s="26"/>
      <c r="D7" s="26"/>
      <c r="E7" s="26"/>
      <c r="F7" s="26" t="s">
        <v>267</v>
      </c>
    </row>
    <row r="8" customFormat="false" ht="15" hidden="false" customHeight="true" outlineLevel="0" collapsed="false">
      <c r="A8" s="26" t="s">
        <v>268</v>
      </c>
      <c r="B8" s="36" t="n">
        <f aca="false">Wyjaśnienia!$B$42</f>
        <v>2</v>
      </c>
      <c r="C8" s="26"/>
      <c r="D8" s="26"/>
      <c r="E8" s="26"/>
      <c r="F8" s="26" t="s">
        <v>269</v>
      </c>
    </row>
    <row r="9" customFormat="false" ht="15" hidden="false" customHeight="true" outlineLevel="0" collapsed="false">
      <c r="A9" s="34" t="s">
        <v>270</v>
      </c>
      <c r="B9" s="37" t="n">
        <f aca="false">B7*B8</f>
        <v>300</v>
      </c>
      <c r="C9" s="26"/>
      <c r="D9" s="26"/>
      <c r="E9" s="26"/>
      <c r="F9" s="26" t="s">
        <v>271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272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96</v>
      </c>
      <c r="B12" s="35" t="s">
        <v>273</v>
      </c>
      <c r="C12" s="35" t="s">
        <v>127</v>
      </c>
      <c r="D12" s="35" t="s">
        <v>100</v>
      </c>
      <c r="E12" s="26"/>
      <c r="F12" s="34" t="s">
        <v>101</v>
      </c>
    </row>
    <row r="13" customFormat="false" ht="15" hidden="false" customHeight="true" outlineLevel="0" collapsed="false">
      <c r="A13" s="26" t="s">
        <v>274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275</v>
      </c>
    </row>
    <row r="14" customFormat="false" ht="15" hidden="false" customHeight="true" outlineLevel="0" collapsed="false">
      <c r="A14" s="26" t="s">
        <v>276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277</v>
      </c>
    </row>
    <row r="15" customFormat="false" ht="15" hidden="false" customHeight="true" outlineLevel="0" collapsed="false">
      <c r="A15" s="34" t="s">
        <v>278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125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96</v>
      </c>
      <c r="B18" s="35" t="s">
        <v>126</v>
      </c>
      <c r="C18" s="35" t="s">
        <v>127</v>
      </c>
      <c r="D18" s="35" t="s">
        <v>100</v>
      </c>
      <c r="E18" s="26"/>
      <c r="F18" s="34" t="s">
        <v>101</v>
      </c>
    </row>
    <row r="19" customFormat="false" ht="15" hidden="false" customHeight="true" outlineLevel="0" collapsed="false">
      <c r="A19" s="26" t="s">
        <v>279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280</v>
      </c>
    </row>
    <row r="20" customFormat="false" ht="15" hidden="false" customHeight="true" outlineLevel="0" collapsed="false">
      <c r="A20" s="26" t="s">
        <v>281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282</v>
      </c>
    </row>
    <row r="21" customFormat="false" ht="15" hidden="false" customHeight="true" outlineLevel="0" collapsed="false">
      <c r="A21" s="34" t="s">
        <v>149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150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283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153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284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155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156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157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285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286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287</v>
      </c>
      <c r="B33" s="35" t="s">
        <v>288</v>
      </c>
      <c r="C33" s="35" t="s">
        <v>289</v>
      </c>
      <c r="D33" s="35" t="s">
        <v>290</v>
      </c>
      <c r="E33" s="35" t="s">
        <v>291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ROUNDUP(B34/Wyjaśnienia!$B$46,0)</f>
        <v>15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ROUNDUP(B35/Wyjaśnienia!$B$46,0)</f>
        <v>100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ROUNDUP(B36/Wyjaśnienia!$B$46,0)</f>
        <v>1000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ROUNDUP(B37/Wyjaśnienia!$B$46,0)</f>
        <v>10000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ROUNDUP(B38/Wyjaśnienia!$B$46,0)</f>
        <v>100000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2026-10-26T06:30:58Z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