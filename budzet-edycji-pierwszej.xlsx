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Nagrody'!$D$36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konkursu plakatu</t>
        </is>
      </c>
      <c r="C10" s="52">
        <f>'Budżet Plakatu'!$D$36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Filmu'!$D$35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Nagrody'!$D$36+'Budżet Gali'!$D$26+'Budżet Antologii'!$D$38+'Budżet Plebiscytu'!$D$33+'Budżet Plakatu'!$D$36+'Budżet Akademii'!$D$33+'Budżet Filmu'!$D$35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10000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20000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5000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konkursie rozmów,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we wszystkich plebiscytach - osobno za ocenę zgłoszeń i za etap przygotowania karty oceny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konkursie rozmów,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Honoraria jury za etap przygotowawczy: karta oceny i wagi kryteriów (netto)</t>
        </is>
      </c>
      <c r="B25" s="67" t="n">
        <v>0</v>
      </c>
      <c r="C25" s="63" t="n">
        <v>1</v>
      </c>
      <c r="D25" s="65">
        <f>B25*C25</f>
        <v/>
      </c>
      <c r="E25" s="56" t="inlineStr">
        <is>
          <t>DO USTALENIA - etap przed naborem, osobny od oceny zgłoszeń; obejmuje opisy przedziałów punktowych i przykłady ich zastosowania</t>
        </is>
      </c>
      <c r="F25" s="46" t="n"/>
    </row>
    <row r="26" ht="15" customHeight="1" s="44">
      <c r="A26" s="62" t="inlineStr">
        <is>
          <t>Promocja naboru</t>
        </is>
      </c>
      <c r="B26" s="67" t="n">
        <v>15000</v>
      </c>
      <c r="C26" s="63" t="n">
        <v>1</v>
      </c>
      <c r="D26" s="65">
        <f>B26*C26</f>
        <v/>
      </c>
      <c r="E26" s="56" t="inlineStr">
        <is>
          <t>materiały, obsługa prasowa przy starcie i rozstrzygnięciu, płatne dotarcie</t>
        </is>
      </c>
      <c r="F26" s="46" t="n"/>
      <c r="G26" s="46" t="n"/>
      <c r="H26" s="46" t="n"/>
    </row>
    <row r="27" ht="15" customHeight="1" s="44">
      <c r="A27" s="62" t="inlineStr">
        <is>
          <t>Nagrody publiczności (brutto)</t>
        </is>
      </c>
      <c r="B27" s="67" t="n">
        <v>4000</v>
      </c>
      <c r="C27" s="63" t="n">
        <v>1</v>
      </c>
      <c r="D27" s="65">
        <f>B27*C27</f>
        <v/>
      </c>
      <c r="E27" s="56" t="inlineStr">
        <is>
          <t>3 000 zł dla zgłoszenia z największą liczbą głosów oraz 1 000 zł jako Nagroda dla publicznych ocen zgłoszonych rozmów (§ 11 ust. 8a)</t>
        </is>
      </c>
      <c r="F27" s="46" t="n"/>
    </row>
    <row r="28" ht="15" customHeight="1" s="44">
      <c r="A28" s="62" t="inlineStr">
        <is>
          <t>Ubezpieczenie OC organizatora</t>
        </is>
      </c>
      <c r="B28" s="67" t="n">
        <v>0</v>
      </c>
      <c r="C28" s="63" t="n">
        <v>1</v>
      </c>
      <c r="D28" s="65">
        <f>B28*C28</f>
        <v/>
      </c>
      <c r="E28" s="56" t="inlineStr">
        <is>
          <t>do ustalenia po konsultacji prawnej; na razie pokryte rezerwą</t>
        </is>
      </c>
      <c r="F28" s="46" t="n"/>
      <c r="G28" s="46" t="n"/>
      <c r="H28" s="46" t="n"/>
    </row>
    <row r="29" ht="15" customHeight="1" s="44">
      <c r="A29" s="49" t="inlineStr">
        <is>
          <t>Razem koszty twarde</t>
        </is>
      </c>
      <c r="B29" s="46" t="n"/>
      <c r="C29" s="46" t="n"/>
      <c r="D29" s="52">
        <f>SUM(D21:D28)</f>
        <v/>
      </c>
      <c r="E29" s="46" t="n"/>
      <c r="F29" s="46" t="n"/>
      <c r="G29" s="46" t="n"/>
      <c r="H29" s="46" t="n"/>
    </row>
    <row r="30" ht="15" customHeight="1" s="44">
      <c r="A30" s="46" t="n"/>
      <c r="G30" s="46" t="n"/>
      <c r="H30" s="46" t="n"/>
    </row>
    <row r="31" ht="15" customHeight="1" s="44">
      <c r="A31" s="48" t="inlineStr">
        <is>
          <t>PODSUMOWANIE</t>
        </is>
      </c>
      <c r="G31" s="46" t="n"/>
      <c r="H31" s="46" t="n"/>
    </row>
    <row r="32" ht="15" customHeight="1" s="44">
      <c r="A32" s="62" t="inlineStr">
        <is>
          <t>Nagrody (brutto dla laureatów, bez VAT)</t>
        </is>
      </c>
      <c r="B32" s="46" t="n"/>
      <c r="C32" s="46" t="n"/>
      <c r="D32" s="65">
        <f>Wyjaśnienia!$B$18+Wyjaśnienia!$B$21+Wyjaśnienia!$B$22+Wyjaśnienia!$B$19*Wyjaśnienia!$B$20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Praca organizatora</t>
        </is>
      </c>
      <c r="B33" s="46" t="n"/>
      <c r="C33" s="46" t="n"/>
      <c r="D33" s="51">
        <f>E17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Koszty twarde</t>
        </is>
      </c>
      <c r="B34" s="46" t="n"/>
      <c r="C34" s="46" t="n"/>
      <c r="D34" s="51">
        <f>D29</f>
        <v/>
      </c>
      <c r="E34" s="46" t="n"/>
      <c r="F34" s="46" t="n"/>
      <c r="G34" s="46" t="n"/>
      <c r="H34" s="46" t="n"/>
    </row>
    <row r="35" ht="15" customHeight="1" s="44">
      <c r="A35" s="62" t="inlineStr">
        <is>
          <t>Rezerwa (od pracy i kosztów, bez nagród)</t>
        </is>
      </c>
      <c r="D35" s="46">
        <f>(D33+D34)*Wyjaśnienia!$B$30</f>
        <v/>
      </c>
      <c r="G35" s="46" t="n"/>
      <c r="H35" s="46" t="n"/>
    </row>
    <row r="36" ht="15" customHeight="1" s="44">
      <c r="A36" s="49" t="inlineStr">
        <is>
          <t>RAZEM NETTO</t>
        </is>
      </c>
      <c r="B36" s="46" t="n"/>
      <c r="C36" s="46" t="n"/>
      <c r="D36" s="52">
        <f>SUM(D32:D35)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VAT</t>
        </is>
      </c>
      <c r="B37" s="46" t="n"/>
      <c r="C37" s="46" t="n"/>
      <c r="D37" s="51">
        <f>D36*Wyjaśnienia!$B$33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DO ZAPŁATY BRUTTO - ta liczba trafia na fakturę</t>
        </is>
      </c>
      <c r="B38" s="46" t="n"/>
      <c r="C38" s="46" t="n"/>
      <c r="D38" s="68">
        <f>D36+D37</f>
        <v/>
      </c>
      <c r="E38" s="46" t="n"/>
      <c r="F38" s="46" t="n"/>
      <c r="G38" s="46" t="n"/>
      <c r="H38" s="46" t="n"/>
    </row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nagranie i premiera na początku 2027, otwiera nabór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 s="4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konkursu plakatu.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Honoraria jury za etap przygotowawczy: karta oceny i wagi kryteriów (netto)</t>
        </is>
      </c>
      <c r="B22" s="59" t="n">
        <v>0</v>
      </c>
      <c r="C22" s="71" t="n">
        <v>1</v>
      </c>
      <c r="D22" s="51">
        <f>B22*C22</f>
        <v/>
      </c>
      <c r="E22" s="46" t="inlineStr">
        <is>
          <t>DO USTALENIA - etap przed naborem, osobny od oceny zgłoszeń; obejmuje opisy przedziałów punktowych i przykłady ich zastosowania</t>
        </is>
      </c>
    </row>
    <row r="23" ht="15" customHeight="1" s="44">
      <c r="A23" s="46" t="inlineStr">
        <is>
          <t>Transport oryginałów w obie strony (netto)</t>
        </is>
      </c>
      <c r="B23" s="51">
        <f>Wyjaśnienia!$B$61*2</f>
        <v/>
      </c>
      <c r="C23" s="71">
        <f>Wyjaśnienia!$B$60</f>
        <v/>
      </c>
      <c r="D23" s="51">
        <f>B23*C23</f>
        <v/>
      </c>
      <c r="E23" s="46" t="inlineStr">
        <is>
          <t>szacunek, nie oferta; organizator pokrywa obie strony</t>
        </is>
      </c>
    </row>
    <row r="24" ht="15" customHeight="1" s="44">
      <c r="A24" s="46" t="inlineStr">
        <is>
          <t>Ubezpieczenie prac na czas wystawy (netto)</t>
        </is>
      </c>
      <c r="B24" s="51">
        <f>Wyjaśnienia!$B$62</f>
        <v/>
      </c>
      <c r="C24" s="71" t="n">
        <v>1</v>
      </c>
      <c r="D24" s="51">
        <f>B24*C24</f>
        <v/>
      </c>
      <c r="E24" s="46" t="inlineStr">
        <is>
          <t>szacunek przy sumie deklarowanej rzędu 100 tys. zł</t>
        </is>
      </c>
    </row>
    <row r="25" ht="15" customHeight="1" s="44">
      <c r="A25" s="46" t="inlineStr">
        <is>
          <t>Realizacja wystawy przy gali i wernisażu w galerii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zawieszenie, oświetlenie, opisy prac w dwóch miejscach, przewóz między nimi, obsługa wernisażu</t>
        </is>
      </c>
    </row>
    <row r="26" ht="15" customHeight="1" s="44">
      <c r="A26" s="46" t="inlineStr">
        <is>
          <t>Obsługa prawna regulaminu plakatu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</t>
        </is>
      </c>
    </row>
    <row r="27" ht="15" customHeight="1" s="44">
      <c r="A27" s="46" t="inlineStr">
        <is>
          <t>Dojazd i nocleg finalistów na galę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jak przy plebiscycie piosenki</t>
        </is>
      </c>
    </row>
    <row r="28" ht="15" customHeight="1" s="44">
      <c r="A28" s="46" t="inlineStr">
        <is>
          <t>Polisa: wycena prac, rozszerzenie na przechowywanie i okres po sprzedaży (netto)</t>
        </is>
      </c>
      <c r="B28" s="59" t="n">
        <v>0</v>
      </c>
      <c r="C28" s="71" t="n">
        <v>1</v>
      </c>
      <c r="D28" s="51">
        <f>B28*C28</f>
        <v/>
      </c>
      <c r="E28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9" ht="15" customHeight="1" s="44">
      <c r="A29" s="53" t="inlineStr">
        <is>
          <t>Razem koszty twarde</t>
        </is>
      </c>
      <c r="D29">
        <f>SUM(D18:D28)</f>
        <v/>
      </c>
    </row>
    <row r="30" ht="15" customHeight="1" s="44">
      <c r="A30" s="46" t="n"/>
    </row>
    <row r="31" ht="15" customHeight="1" s="44">
      <c r="A31" s="53" t="inlineStr">
        <is>
          <t>PODSUMOWANIE</t>
        </is>
      </c>
    </row>
    <row r="32" ht="15" customHeight="1" s="44">
      <c r="A32" s="46" t="inlineStr">
        <is>
          <t>Nagrody (brutto dla laureatów, bez VAT)</t>
        </is>
      </c>
      <c r="D32" s="51">
        <f>Wyjaśnienia!$B$54+Wyjaśnienia!$B$55</f>
        <v/>
      </c>
    </row>
    <row r="33" ht="15" customHeight="1" s="44">
      <c r="A33" s="46" t="inlineStr">
        <is>
          <t>Praca organizatora</t>
        </is>
      </c>
      <c r="D33" s="51">
        <f>E14</f>
        <v/>
      </c>
    </row>
    <row r="34" ht="15" customHeight="1" s="44">
      <c r="A34" s="46" t="inlineStr">
        <is>
          <t>Koszty twarde bez nagród</t>
        </is>
      </c>
      <c r="D34" s="51">
        <f>D29-D32</f>
        <v/>
      </c>
    </row>
    <row r="35" ht="15" customHeight="1" s="44">
      <c r="A35" s="46" t="inlineStr">
        <is>
          <t>Rezerwa (od pracy i kosztów, bez nagród)</t>
        </is>
      </c>
      <c r="D35" s="51">
        <f>(D33+D34)*Wyjaśnienia!$B$63</f>
        <v/>
      </c>
    </row>
    <row r="36" ht="15" customHeight="1" s="44">
      <c r="A36" s="53" t="inlineStr">
        <is>
          <t>RAZEM NETTO</t>
        </is>
      </c>
      <c r="D36" s="54">
        <f>SUM(D32:D35)</f>
        <v/>
      </c>
    </row>
    <row r="37" ht="15" customHeight="1" s="44">
      <c r="A37" s="46" t="inlineStr">
        <is>
          <t>VAT</t>
        </is>
      </c>
      <c r="D37" s="51">
        <f>D36*Wyjaśnienia!$B$33</f>
        <v/>
      </c>
    </row>
    <row r="38">
      <c r="A38" s="53" t="inlineStr">
        <is>
          <t>DO ZAPŁATY BRUTTO - ta liczba trafia na fakturę</t>
        </is>
      </c>
      <c r="D38" s="54">
        <f>D36+D37</f>
        <v/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Honoraria jury za etap przygotowawczy: karta oceny i wagi kryteriów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USTALENIA - etap przed naborem, osobny od oceny zgłoszeń; obejmuje opisy przedziałów punktowych i przykłady ich zastosowania</t>
        </is>
      </c>
    </row>
    <row r="24" ht="15" customHeight="1" s="44">
      <c r="A24" s="46" t="inlineStr">
        <is>
          <t>Przygotowanie techniczne zwiastunów do emisji galowej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5" ht="15" customHeight="1" s="44">
      <c r="A25" s="46" t="inlineStr">
        <is>
          <t>Pokazy kinowe filmów finałowych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6" ht="15" customHeight="1" s="44">
      <c r="A26" s="46" t="inlineStr">
        <is>
          <t>Dojazd i nocleg finalistów na galę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jak przy plebiscycie piosenki; dziesięciu finalistów, często z ekipą</t>
        </is>
      </c>
    </row>
    <row r="27" ht="15" customHeight="1" s="44">
      <c r="A27" s="46" t="inlineStr">
        <is>
          <t>Obsługa prawna regulaminu filmu (netto)</t>
        </is>
      </c>
      <c r="B27" s="51" t="n">
        <v>0</v>
      </c>
      <c r="C27" s="71" t="n">
        <v>1</v>
      </c>
      <c r="D27" s="51">
        <f>B27*C27</f>
        <v/>
      </c>
      <c r="E27" s="46" t="inlineStr">
        <is>
          <t>DO WYCENY - odrębne zlecenie kancelarii, nie złożone; siedem miejsc wypisanych na końcu regulaminu, w tym status filmu wygenerowanego w całości</t>
        </is>
      </c>
    </row>
    <row r="28">
      <c r="A28" s="53" t="inlineStr">
        <is>
          <t>Razem koszty twarde</t>
        </is>
      </c>
      <c r="B28" s="51" t="n"/>
      <c r="C28" s="71" t="n"/>
      <c r="D28" s="54">
        <f>SUM(D19:D27)</f>
        <v/>
      </c>
    </row>
    <row r="29" ht="15" customHeight="1" s="44"/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Wyjaśnienia!$B$67+Wyjaśnienia!$B$68</f>
        <v/>
      </c>
    </row>
    <row r="32" ht="15" customHeight="1" s="44">
      <c r="A32" s="46" t="inlineStr">
        <is>
          <t>Praca organizatora</t>
        </is>
      </c>
      <c r="D32" s="51">
        <f>E15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(D32+D33)*Wyjaśnienia!$B$74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2026-10-28T16:57:50Z</dcterms:modified>
  <cp:revision>0</cp:revision>
</cp:coreProperties>
</file>