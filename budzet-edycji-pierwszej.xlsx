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Założenia" sheetId="1" state="visible" r:id="rId3"/>
    <sheet name="Praca" sheetId="2" state="visible" r:id="rId4"/>
    <sheet name="Koszty" sheetId="3" state="visible" r:id="rId5"/>
    <sheet name="Wnioski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<sst xmlns="http://schemas.openxmlformats.org/spreadsheetml/2006/main" count="178" uniqueCount="148">
  <si>
    <t xml:space="preserve">Nagroda Konstela - budżet edycji pierwszej, dwóch sponsorów</t>
  </si>
  <si>
    <t xml:space="preserve">Edytuj wyłącznie żółte komórki. Blok A to fundator puli i gali, blok B to partner wydawniczy.</t>
  </si>
  <si>
    <t xml:space="preserve">DŹWIGNIE</t>
  </si>
  <si>
    <t xml:space="preserve">Liczba zgłoszeń po ocenie formalnej</t>
  </si>
  <si>
    <t xml:space="preserve">Wpływa na ocenę formalną i korespondencję. Reszta pracy jest kosztem stałym.</t>
  </si>
  <si>
    <t xml:space="preserve">Stawka godzinowa organizatora (netto, zł)</t>
  </si>
  <si>
    <t xml:space="preserve">Twoja stawka rynkowa; podstawa wyceny pracy w obu blokach.</t>
  </si>
  <si>
    <t xml:space="preserve">Nagroda główna (zł)</t>
  </si>
  <si>
    <t xml:space="preserve">Nike 1997 = 100 tys.; wg indeksu cen ok. 315 tys. w 2026 (Eurostat/FRED).</t>
  </si>
  <si>
    <t xml:space="preserve">Nagroda dla pozostałych finalistów (zł)</t>
  </si>
  <si>
    <t xml:space="preserve">Dziewięć osób z dziesiątki antologii.</t>
  </si>
  <si>
    <t xml:space="preserve">Liczba pozostałych finalistów</t>
  </si>
  <si>
    <t xml:space="preserve">Dziesiątka minus laureat.</t>
  </si>
  <si>
    <t xml:space="preserve">Rezerwa w bloku A</t>
  </si>
  <si>
    <t xml:space="preserve">Narzut na nieprzewidziane po stronie nagrody i gali.</t>
  </si>
  <si>
    <t xml:space="preserve">Marża w bloku B</t>
  </si>
  <si>
    <t xml:space="preserve">Narzut partnera wydawniczego, zgodnie z Twoim założeniem.</t>
  </si>
  <si>
    <t xml:space="preserve">Podatek liniowy</t>
  </si>
  <si>
    <t xml:space="preserve">Do weryfikacji z księgowym.</t>
  </si>
  <si>
    <t xml:space="preserve">Składka zdrowotna</t>
  </si>
  <si>
    <t xml:space="preserve">Podatek od nagród (ryczałt)</t>
  </si>
  <si>
    <t xml:space="preserve">Art. 30 ust. 1 pkt 2 ustawy o PIT; potrącany przy wypłacie.</t>
  </si>
  <si>
    <t xml:space="preserve">Nakład pracy organizatora z przypisaniem do bloku</t>
  </si>
  <si>
    <t xml:space="preserve">Blok A = nagroda i gala (fundator puli). Blok B = antologia i archiwum (partner wydawniczy).</t>
  </si>
  <si>
    <t xml:space="preserve">Pozycja</t>
  </si>
  <si>
    <t xml:space="preserve">Blok</t>
  </si>
  <si>
    <t xml:space="preserve">Stałe (h)</t>
  </si>
  <si>
    <t xml:space="preserve">Na zgł. (min)</t>
  </si>
  <si>
    <t xml:space="preserve">Razem (h)</t>
  </si>
  <si>
    <t xml:space="preserve">Rekrutacja Kapituły i Akademii, korespondencja</t>
  </si>
  <si>
    <t xml:space="preserve">A</t>
  </si>
  <si>
    <t xml:space="preserve">15 czytelników, 3-5 jurorów, lista rezerwowa</t>
  </si>
  <si>
    <t xml:space="preserve">Próba kalibracyjna i dwie powtórki kotwic</t>
  </si>
  <si>
    <t xml:space="preserve">3 rozmowy spoza edycji</t>
  </si>
  <si>
    <t xml:space="preserve">Obsługa panelu oceny, przydziały, przypomnienia</t>
  </si>
  <si>
    <t xml:space="preserve">rozłożone na 12 miesięcy naboru</t>
  </si>
  <si>
    <t xml:space="preserve">Archiwizacja i ocena formalna</t>
  </si>
  <si>
    <t xml:space="preserve">skrypt plus obsługa wyjątków</t>
  </si>
  <si>
    <t xml:space="preserve">Korespondencja z uczestnikami</t>
  </si>
  <si>
    <t xml:space="preserve">potwierdzenia, kopie archiwalne, pytania</t>
  </si>
  <si>
    <t xml:space="preserve">Postępowania szczególne</t>
  </si>
  <si>
    <t xml:space="preserve">inscenizacja, treści trudne, odmowy publikacji</t>
  </si>
  <si>
    <t xml:space="preserve">Koordynacja rundy drugiej z Kapitułą</t>
  </si>
  <si>
    <t xml:space="preserve">spotkania, protokoły, rozbieżności</t>
  </si>
  <si>
    <t xml:space="preserve">Rozmowy weryfikacyjne (10 finalistów)</t>
  </si>
  <si>
    <t xml:space="preserve">prowadzi Organizator osobiście</t>
  </si>
  <si>
    <t xml:space="preserve">Gala: organizacja, zdjęcia, wysyłki</t>
  </si>
  <si>
    <t xml:space="preserve">z koordynatorem po stronie B jest mniej</t>
  </si>
  <si>
    <t xml:space="preserve">Rozliczenia, podatki, sprawozdanie dla sponsorów</t>
  </si>
  <si>
    <t xml:space="preserve">z księgowym</t>
  </si>
  <si>
    <t xml:space="preserve">Komunikacja, media, strona</t>
  </si>
  <si>
    <t xml:space="preserve">przez cały rok</t>
  </si>
  <si>
    <t xml:space="preserve">Antologia: redakcja not Kapituły i uzupełnienia</t>
  </si>
  <si>
    <t xml:space="preserve">B</t>
  </si>
  <si>
    <t xml:space="preserve">noty pisze Kapituła (§ 8 ust. 13a)</t>
  </si>
  <si>
    <t xml:space="preserve">Skład, korekta autorska, EPUB i PDF</t>
  </si>
  <si>
    <t xml:space="preserve">szablon przygotowany w styczniu</t>
  </si>
  <si>
    <t xml:space="preserve">Archiwum: publikacja porcjami przez rok</t>
  </si>
  <si>
    <t xml:space="preserve">jedna rozmowa na dwa tygodnie</t>
  </si>
  <si>
    <t xml:space="preserve">Godziny blok A</t>
  </si>
  <si>
    <t xml:space="preserve">Godziny blok B</t>
  </si>
  <si>
    <t xml:space="preserve">RAZEM</t>
  </si>
  <si>
    <t xml:space="preserve">tygodniowo przez rok</t>
  </si>
  <si>
    <t xml:space="preserve">Fundraising (spotkania, pisma, odmowy) nie jest tu ujęty: 50-100 h przed jakąkolwiek umową.</t>
  </si>
  <si>
    <t xml:space="preserve">Koszty twarde z przypisaniem do bloku</t>
  </si>
  <si>
    <t xml:space="preserve">Wydatki pieniężne, poza pracą organizatora.</t>
  </si>
  <si>
    <t xml:space="preserve">Jednostkowo</t>
  </si>
  <si>
    <t xml:space="preserve">Ilość</t>
  </si>
  <si>
    <t xml:space="preserve">Razem</t>
  </si>
  <si>
    <t xml:space="preserve">Gala: sala, obsługa, poczęstunek</t>
  </si>
  <si>
    <t xml:space="preserve">do negocjacji z patronem instytucjonalnym</t>
  </si>
  <si>
    <t xml:space="preserve">Fotograf na gali</t>
  </si>
  <si>
    <t xml:space="preserve">zdjęcie grupowe i dokumentacja</t>
  </si>
  <si>
    <t xml:space="preserve">Medal laureata i dyplomy</t>
  </si>
  <si>
    <t xml:space="preserve">mosiądz grawerowany, 10 dyplomów</t>
  </si>
  <si>
    <t xml:space="preserve">Przejazdy i noclegi Kapituły</t>
  </si>
  <si>
    <t xml:space="preserve">zwrot kosztów</t>
  </si>
  <si>
    <t xml:space="preserve">Konsultacja prawna</t>
  </si>
  <si>
    <t xml:space="preserve">cztery obszary; obowiązkowa przed naborem</t>
  </si>
  <si>
    <t xml:space="preserve">Obsługa księgowa projektu</t>
  </si>
  <si>
    <t xml:space="preserve">ponad bieżącą obsługę działalności</t>
  </si>
  <si>
    <t xml:space="preserve">Domeny konstela.org i konstela.pl</t>
  </si>
  <si>
    <t xml:space="preserve">opłacone</t>
  </si>
  <si>
    <t xml:space="preserve">Koordynator na I-III 2028 (zlecenie)</t>
  </si>
  <si>
    <t xml:space="preserve">zdejmuje 80-100 h ze szczytu; plan sukcesji</t>
  </si>
  <si>
    <t xml:space="preserve">Korekta zewnętrzna antologii</t>
  </si>
  <si>
    <t xml:space="preserve">korekta językowa dziesięciu rozmów i not</t>
  </si>
  <si>
    <t xml:space="preserve">Skład DTP zewnętrzny</t>
  </si>
  <si>
    <t xml:space="preserve">szablon plus obsługa wydania</t>
  </si>
  <si>
    <t xml:space="preserve">Druk 30 egz. dla Akademii, Kapituły, finalistów</t>
  </si>
  <si>
    <t xml:space="preserve">z ekslibrisami podpisanymi na gali</t>
  </si>
  <si>
    <t xml:space="preserve">ISBN i egzemplarz obowiązkowy</t>
  </si>
  <si>
    <t xml:space="preserve">nadanie bezpłatne</t>
  </si>
  <si>
    <t xml:space="preserve">Hosting, poczta, narzędzia</t>
  </si>
  <si>
    <t xml:space="preserve">GitHub Pages i Cloudflare w planach darmowych</t>
  </si>
  <si>
    <t xml:space="preserve">Koszty twarde blok A</t>
  </si>
  <si>
    <t xml:space="preserve">Koszty twarde blok B</t>
  </si>
  <si>
    <t xml:space="preserve">Pozycje najłatwiejsze do ścięcia w negocjacjach: gala, fotograf, przejazdy - celowo w bloku A,</t>
  </si>
  <si>
    <t xml:space="preserve">żeby cięcie nie spadało na Twoje godziny ani na produkcję antologii.</t>
  </si>
  <si>
    <t xml:space="preserve">Dwa wnioski, dwa przedmioty</t>
  </si>
  <si>
    <t xml:space="preserve">Każdy sponsor finansuje nazwaną rzecz. Słowo "koszty organizacyjne" nie pada w żadnym z nich.</t>
  </si>
  <si>
    <t xml:space="preserve">BLOK A - FUNDATOR NAGRODY I GALI (np. bank)</t>
  </si>
  <si>
    <t xml:space="preserve">Pula nagród</t>
  </si>
  <si>
    <t xml:space="preserve">Nagroda główna plus dziewięć wyróżnień.</t>
  </si>
  <si>
    <t xml:space="preserve">Oprawa: gala, medal, dyplomy, przejazdy, obsługa prawna</t>
  </si>
  <si>
    <t xml:space="preserve">Koszty twarde przypisane do bloku A.</t>
  </si>
  <si>
    <t xml:space="preserve">Prowadzenie konkursu: praca organizatora</t>
  </si>
  <si>
    <t xml:space="preserve">Godziny bloku A razy stawka.</t>
  </si>
  <si>
    <t xml:space="preserve">Rezerwa</t>
  </si>
  <si>
    <t xml:space="preserve">Narzut na nieprzewidziane, liczony od oprawy i pracy.</t>
  </si>
  <si>
    <t xml:space="preserve">WNIOSEK A (netto)</t>
  </si>
  <si>
    <t xml:space="preserve">Kwota netto; przy banku VAT jest ich realnym kosztem.</t>
  </si>
  <si>
    <t xml:space="preserve">Udział pozycji innych niż pula</t>
  </si>
  <si>
    <t xml:space="preserve">Poniżej 30% rozmowa nie schodzi na wskaźniki.</t>
  </si>
  <si>
    <t xml:space="preserve">Wniosek A brutto z VAT 23%</t>
  </si>
  <si>
    <t xml:space="preserve">Banki odliczają VAT w ograniczonym zakresie.</t>
  </si>
  <si>
    <t xml:space="preserve">BLOK B - PARTNER WYDAWNICZY (fundacja korporacyjna, firma technologiczna)</t>
  </si>
  <si>
    <t xml:space="preserve">Produkcja antologii i archiwum: koszty twarde</t>
  </si>
  <si>
    <t xml:space="preserve">Koordynator, korekta, skład, druk, ISBN.</t>
  </si>
  <si>
    <t xml:space="preserve">Redakcja, skład i publikacja: praca organizatora</t>
  </si>
  <si>
    <t xml:space="preserve">Godziny bloku B razy stawka.</t>
  </si>
  <si>
    <t xml:space="preserve">Marża</t>
  </si>
  <si>
    <t xml:space="preserve">Narzut zgodnie z założeniem w polu B11.</t>
  </si>
  <si>
    <t xml:space="preserve">WNIOSEK B (netto)</t>
  </si>
  <si>
    <t xml:space="preserve">Finansuje nazwany przedmiot: bezpłatną antologię.</t>
  </si>
  <si>
    <t xml:space="preserve">Wniosek B brutto z VAT 23%</t>
  </si>
  <si>
    <t xml:space="preserve">Zależy od statusu podatkowego partnera.</t>
  </si>
  <si>
    <t xml:space="preserve">RAZEM I CO ZOSTAJE ORGANIZATOROWI</t>
  </si>
  <si>
    <t xml:space="preserve">Oba wnioski netto</t>
  </si>
  <si>
    <t xml:space="preserve">Suma obu bloków.</t>
  </si>
  <si>
    <t xml:space="preserve">Przychód organizatora (bez puli nagród)</t>
  </si>
  <si>
    <t xml:space="preserve">Wszystko poza kwotami wypłacanymi laureatom.</t>
  </si>
  <si>
    <t xml:space="preserve">minus koszty twarde</t>
  </si>
  <si>
    <t xml:space="preserve">Wydatki rzeczywiste, w tym koordynator.</t>
  </si>
  <si>
    <t xml:space="preserve">Podstawa opodatkowania</t>
  </si>
  <si>
    <t xml:space="preserve">Uproszczenie: bez innych kosztów działalności.</t>
  </si>
  <si>
    <t xml:space="preserve">Podatek liniowy i składka zdrowotna</t>
  </si>
  <si>
    <t xml:space="preserve">ZOSTAJE NETTO</t>
  </si>
  <si>
    <t xml:space="preserve">Wynagrodzenie za cały nakład pracy przy edycji.</t>
  </si>
  <si>
    <t xml:space="preserve">Godziny pracy</t>
  </si>
  <si>
    <t xml:space="preserve">Z arkusza Praca.</t>
  </si>
  <si>
    <t xml:space="preserve">STAWKA RZECZYWISTA ZA GODZINĘ</t>
  </si>
  <si>
    <t xml:space="preserve">Porównaj ze stawką z pola B6 arkusza Założenia.</t>
  </si>
  <si>
    <t xml:space="preserve">Podatek od nagród potrącany laureatom</t>
  </si>
  <si>
    <t xml:space="preserve">Płatnik odprowadza; nie jest Twoim kosztem.</t>
  </si>
  <si>
    <t xml:space="preserve">Dlaczego dwa wnioski, a nie jeden: każdy sponsor kupuje inną rzecz i nie konkurują o to samo miejsce na scenie.</t>
  </si>
  <si>
    <t xml:space="preserve">Fundator puli dostaje nagrodę i wieczór; partner wydawniczy dostaje trwałą, bezpłatną publikację z nazwiskiem.</t>
  </si>
  <si>
    <t xml:space="preserve">Dwie mniejsze zgody są łatwiejsze do zdobycia niż jedna duża, a budżet CSR ocenia projekt inaczej niż dział marketingu.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</si>
</sst>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0"/>
    <numFmt numFmtId="166" formatCode="#,##0&quot; zł&quot;"/>
    <numFmt numFmtId="167" formatCode="0.0%"/>
    <numFmt numFmtId="168" formatCode="#,##0&quot; h&quot;"/>
    <numFmt numFmtId="169" formatCode="0.0&quot; h&quot;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1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EFEAE0"/>
        <bgColor rgb="FFEAF2E6"/>
      </patternFill>
    </fill>
    <fill>
      <patternFill patternType="solid">
        <fgColor rgb="FFFFFF99"/>
        <bgColor rgb="FFEAF2E6"/>
      </patternFill>
    </fill>
    <fill>
      <patternFill patternType="solid">
        <fgColor rgb="FFE6EEF7"/>
        <bgColor rgb="FFEAF2E6"/>
      </patternFill>
    </fill>
    <fill>
      <patternFill patternType="solid">
        <fgColor rgb="FFEAF2E6"/>
        <bgColor rgb="FFE6EEF7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CCCC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8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8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AF2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EFEAE0"/>
      <rgbColor rgb="FFE6EE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0"/>
    <col collapsed="false" customWidth="true" hidden="false" outlineLevel="0" max="2" min="2" style="1" width="16"/>
    <col collapsed="false" customWidth="true" hidden="false" outlineLevel="0" max="3" min="3" style="1" width="66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15" hidden="false" customHeight="true" outlineLevel="0" collapsed="false">
      <c r="A4" s="4" t="s">
        <v>2</v>
      </c>
      <c r="B4" s="5"/>
      <c r="C4" s="5"/>
    </row>
    <row r="5" customFormat="false" ht="15" hidden="false" customHeight="true" outlineLevel="0" collapsed="false">
      <c r="A5" s="6" t="s">
        <v>3</v>
      </c>
      <c r="B5" s="7" t="n">
        <v>150</v>
      </c>
      <c r="C5" s="8" t="s">
        <v>4</v>
      </c>
    </row>
    <row r="6" customFormat="false" ht="15" hidden="false" customHeight="true" outlineLevel="0" collapsed="false">
      <c r="A6" s="6" t="s">
        <v>5</v>
      </c>
      <c r="B6" s="9" t="n">
        <v>220</v>
      </c>
      <c r="C6" s="8" t="s">
        <v>6</v>
      </c>
    </row>
    <row r="7" customFormat="false" ht="15" hidden="false" customHeight="true" outlineLevel="0" collapsed="false">
      <c r="A7" s="6" t="s">
        <v>7</v>
      </c>
      <c r="B7" s="9" t="n">
        <v>300000</v>
      </c>
      <c r="C7" s="8" t="s">
        <v>8</v>
      </c>
    </row>
    <row r="8" customFormat="false" ht="15" hidden="false" customHeight="true" outlineLevel="0" collapsed="false">
      <c r="A8" s="6" t="s">
        <v>9</v>
      </c>
      <c r="B8" s="9" t="n">
        <v>10000</v>
      </c>
      <c r="C8" s="8" t="s">
        <v>10</v>
      </c>
    </row>
    <row r="9" customFormat="false" ht="15" hidden="false" customHeight="true" outlineLevel="0" collapsed="false">
      <c r="A9" s="6" t="s">
        <v>11</v>
      </c>
      <c r="B9" s="7" t="n">
        <v>9</v>
      </c>
      <c r="C9" s="8" t="s">
        <v>12</v>
      </c>
    </row>
    <row r="10" customFormat="false" ht="15" hidden="false" customHeight="true" outlineLevel="0" collapsed="false">
      <c r="A10" s="6" t="s">
        <v>13</v>
      </c>
      <c r="B10" s="10" t="n">
        <v>0.12</v>
      </c>
      <c r="C10" s="8" t="s">
        <v>14</v>
      </c>
    </row>
    <row r="11" customFormat="false" ht="15" hidden="false" customHeight="true" outlineLevel="0" collapsed="false">
      <c r="A11" s="6" t="s">
        <v>15</v>
      </c>
      <c r="B11" s="10" t="n">
        <v>0.3</v>
      </c>
      <c r="C11" s="8" t="s">
        <v>16</v>
      </c>
    </row>
    <row r="12" customFormat="false" ht="15" hidden="false" customHeight="true" outlineLevel="0" collapsed="false">
      <c r="A12" s="6" t="s">
        <v>17</v>
      </c>
      <c r="B12" s="10" t="n">
        <v>0.19</v>
      </c>
      <c r="C12" s="8" t="s">
        <v>18</v>
      </c>
    </row>
    <row r="13" customFormat="false" ht="15" hidden="false" customHeight="true" outlineLevel="0" collapsed="false">
      <c r="A13" s="6" t="s">
        <v>19</v>
      </c>
      <c r="B13" s="10" t="n">
        <v>0.049</v>
      </c>
      <c r="C13" s="8" t="s">
        <v>18</v>
      </c>
    </row>
    <row r="14" customFormat="false" ht="15" hidden="false" customHeight="true" outlineLevel="0" collapsed="false">
      <c r="A14" s="6" t="s">
        <v>20</v>
      </c>
      <c r="B14" s="10" t="n">
        <v>0.1</v>
      </c>
      <c r="C14" s="8" t="s">
        <v>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6"/>
    <col collapsed="false" customWidth="true" hidden="false" outlineLevel="0" max="2" min="2" style="1" width="9"/>
    <col collapsed="false" customWidth="true" hidden="false" outlineLevel="0" max="3" min="3" style="1" width="11"/>
    <col collapsed="false" customWidth="true" hidden="false" outlineLevel="0" max="5" min="4" style="1" width="13"/>
  </cols>
  <sheetData>
    <row r="1" customFormat="false" ht="17.25" hidden="false" customHeight="true" outlineLevel="0" collapsed="false">
      <c r="A1" s="2" t="s">
        <v>22</v>
      </c>
    </row>
    <row r="2" customFormat="false" ht="15" hidden="false" customHeight="true" outlineLevel="0" collapsed="false">
      <c r="A2" s="3" t="s">
        <v>23</v>
      </c>
    </row>
    <row r="4" customFormat="false" ht="15" hidden="false" customHeight="true" outlineLevel="0" collapsed="false">
      <c r="A4" s="11" t="s">
        <v>24</v>
      </c>
      <c r="B4" s="11" t="s">
        <v>25</v>
      </c>
      <c r="C4" s="11" t="s">
        <v>26</v>
      </c>
      <c r="D4" s="11" t="s">
        <v>27</v>
      </c>
      <c r="E4" s="11" t="s">
        <v>28</v>
      </c>
    </row>
    <row r="5" customFormat="false" ht="15" hidden="false" customHeight="true" outlineLevel="0" collapsed="false">
      <c r="A5" s="6" t="s">
        <v>29</v>
      </c>
      <c r="B5" s="12" t="s">
        <v>30</v>
      </c>
      <c r="C5" s="7" t="n">
        <v>60</v>
      </c>
      <c r="D5" s="7" t="n">
        <v>0</v>
      </c>
      <c r="E5" s="13" t="n">
        <f aca="false">C5+D5*Założenia!$B$5/60</f>
        <v>60</v>
      </c>
      <c r="F5" s="3" t="s">
        <v>31</v>
      </c>
    </row>
    <row r="6" customFormat="false" ht="15" hidden="false" customHeight="true" outlineLevel="0" collapsed="false">
      <c r="A6" s="6" t="s">
        <v>32</v>
      </c>
      <c r="B6" s="12" t="s">
        <v>30</v>
      </c>
      <c r="C6" s="7" t="n">
        <v>24</v>
      </c>
      <c r="D6" s="7" t="n">
        <v>0</v>
      </c>
      <c r="E6" s="13" t="n">
        <f aca="false">C6+D6*Założenia!$B$5/60</f>
        <v>24</v>
      </c>
      <c r="F6" s="3" t="s">
        <v>33</v>
      </c>
    </row>
    <row r="7" customFormat="false" ht="15" hidden="false" customHeight="true" outlineLevel="0" collapsed="false">
      <c r="A7" s="6" t="s">
        <v>34</v>
      </c>
      <c r="B7" s="12" t="s">
        <v>30</v>
      </c>
      <c r="C7" s="7" t="n">
        <v>50</v>
      </c>
      <c r="D7" s="7" t="n">
        <v>0</v>
      </c>
      <c r="E7" s="13" t="n">
        <f aca="false">C7+D7*Założenia!$B$5/60</f>
        <v>50</v>
      </c>
      <c r="F7" s="3" t="s">
        <v>35</v>
      </c>
    </row>
    <row r="8" customFormat="false" ht="15" hidden="false" customHeight="true" outlineLevel="0" collapsed="false">
      <c r="A8" s="6" t="s">
        <v>36</v>
      </c>
      <c r="B8" s="12" t="s">
        <v>30</v>
      </c>
      <c r="C8" s="7" t="n">
        <v>8</v>
      </c>
      <c r="D8" s="7" t="n">
        <v>6</v>
      </c>
      <c r="E8" s="13" t="n">
        <f aca="false">C8+D8*Założenia!$B$5/60</f>
        <v>23</v>
      </c>
      <c r="F8" s="3" t="s">
        <v>37</v>
      </c>
    </row>
    <row r="9" customFormat="false" ht="15" hidden="false" customHeight="true" outlineLevel="0" collapsed="false">
      <c r="A9" s="6" t="s">
        <v>38</v>
      </c>
      <c r="B9" s="12" t="s">
        <v>30</v>
      </c>
      <c r="C9" s="7" t="n">
        <v>10</v>
      </c>
      <c r="D9" s="7" t="n">
        <v>4</v>
      </c>
      <c r="E9" s="13" t="n">
        <f aca="false">C9+D9*Założenia!$B$5/60</f>
        <v>20</v>
      </c>
      <c r="F9" s="3" t="s">
        <v>39</v>
      </c>
    </row>
    <row r="10" customFormat="false" ht="15" hidden="false" customHeight="true" outlineLevel="0" collapsed="false">
      <c r="A10" s="6" t="s">
        <v>40</v>
      </c>
      <c r="B10" s="12" t="s">
        <v>30</v>
      </c>
      <c r="C10" s="7" t="n">
        <v>20</v>
      </c>
      <c r="D10" s="7" t="n">
        <v>0</v>
      </c>
      <c r="E10" s="13" t="n">
        <f aca="false">C10+D10*Założenia!$B$5/60</f>
        <v>20</v>
      </c>
      <c r="F10" s="3" t="s">
        <v>41</v>
      </c>
    </row>
    <row r="11" customFormat="false" ht="15" hidden="false" customHeight="true" outlineLevel="0" collapsed="false">
      <c r="A11" s="6" t="s">
        <v>42</v>
      </c>
      <c r="B11" s="12" t="s">
        <v>30</v>
      </c>
      <c r="C11" s="7" t="n">
        <v>40</v>
      </c>
      <c r="D11" s="7" t="n">
        <v>0</v>
      </c>
      <c r="E11" s="13" t="n">
        <f aca="false">C11+D11*Założenia!$B$5/60</f>
        <v>40</v>
      </c>
      <c r="F11" s="3" t="s">
        <v>43</v>
      </c>
    </row>
    <row r="12" customFormat="false" ht="15" hidden="false" customHeight="true" outlineLevel="0" collapsed="false">
      <c r="A12" s="6" t="s">
        <v>44</v>
      </c>
      <c r="B12" s="12" t="s">
        <v>30</v>
      </c>
      <c r="C12" s="7" t="n">
        <v>25</v>
      </c>
      <c r="D12" s="7" t="n">
        <v>0</v>
      </c>
      <c r="E12" s="13" t="n">
        <f aca="false">C12+D12*Założenia!$B$5/60</f>
        <v>25</v>
      </c>
      <c r="F12" s="3" t="s">
        <v>45</v>
      </c>
    </row>
    <row r="13" customFormat="false" ht="15" hidden="false" customHeight="true" outlineLevel="0" collapsed="false">
      <c r="A13" s="6" t="s">
        <v>46</v>
      </c>
      <c r="B13" s="12" t="s">
        <v>30</v>
      </c>
      <c r="C13" s="7" t="n">
        <v>45</v>
      </c>
      <c r="D13" s="7" t="n">
        <v>0</v>
      </c>
      <c r="E13" s="13" t="n">
        <f aca="false">C13+D13*Założenia!$B$5/60</f>
        <v>45</v>
      </c>
      <c r="F13" s="3" t="s">
        <v>47</v>
      </c>
    </row>
    <row r="14" customFormat="false" ht="15" hidden="false" customHeight="true" outlineLevel="0" collapsed="false">
      <c r="A14" s="6" t="s">
        <v>48</v>
      </c>
      <c r="B14" s="12" t="s">
        <v>30</v>
      </c>
      <c r="C14" s="7" t="n">
        <v>25</v>
      </c>
      <c r="D14" s="7" t="n">
        <v>0</v>
      </c>
      <c r="E14" s="13" t="n">
        <f aca="false">C14+D14*Założenia!$B$5/60</f>
        <v>25</v>
      </c>
      <c r="F14" s="3" t="s">
        <v>49</v>
      </c>
    </row>
    <row r="15" customFormat="false" ht="15" hidden="false" customHeight="true" outlineLevel="0" collapsed="false">
      <c r="A15" s="6" t="s">
        <v>50</v>
      </c>
      <c r="B15" s="12" t="s">
        <v>30</v>
      </c>
      <c r="C15" s="7" t="n">
        <v>40</v>
      </c>
      <c r="D15" s="7" t="n">
        <v>0</v>
      </c>
      <c r="E15" s="13" t="n">
        <f aca="false">C15+D15*Założenia!$B$5/60</f>
        <v>40</v>
      </c>
      <c r="F15" s="3" t="s">
        <v>51</v>
      </c>
    </row>
    <row r="16" customFormat="false" ht="15" hidden="false" customHeight="true" outlineLevel="0" collapsed="false">
      <c r="A16" s="6" t="s">
        <v>52</v>
      </c>
      <c r="B16" s="12" t="s">
        <v>53</v>
      </c>
      <c r="C16" s="7" t="n">
        <v>45</v>
      </c>
      <c r="D16" s="7" t="n">
        <v>0</v>
      </c>
      <c r="E16" s="13" t="n">
        <f aca="false">C16+D16*Założenia!$B$5/60</f>
        <v>45</v>
      </c>
      <c r="F16" s="3" t="s">
        <v>54</v>
      </c>
    </row>
    <row r="17" customFormat="false" ht="15" hidden="false" customHeight="true" outlineLevel="0" collapsed="false">
      <c r="A17" s="6" t="s">
        <v>55</v>
      </c>
      <c r="B17" s="12" t="s">
        <v>53</v>
      </c>
      <c r="C17" s="7" t="n">
        <v>40</v>
      </c>
      <c r="D17" s="7" t="n">
        <v>0</v>
      </c>
      <c r="E17" s="13" t="n">
        <f aca="false">C17+D17*Założenia!$B$5/60</f>
        <v>40</v>
      </c>
      <c r="F17" s="3" t="s">
        <v>56</v>
      </c>
    </row>
    <row r="18" customFormat="false" ht="15" hidden="false" customHeight="true" outlineLevel="0" collapsed="false">
      <c r="A18" s="6" t="s">
        <v>57</v>
      </c>
      <c r="B18" s="12" t="s">
        <v>53</v>
      </c>
      <c r="C18" s="7" t="n">
        <v>30</v>
      </c>
      <c r="D18" s="7" t="n">
        <v>0</v>
      </c>
      <c r="E18" s="13" t="n">
        <f aca="false">C18+D18*Założenia!$B$5/60</f>
        <v>30</v>
      </c>
      <c r="F18" s="3" t="s">
        <v>58</v>
      </c>
    </row>
    <row r="20" customFormat="false" ht="15" hidden="false" customHeight="true" outlineLevel="0" collapsed="false">
      <c r="A20" s="14" t="s">
        <v>59</v>
      </c>
      <c r="E20" s="15" t="n">
        <f aca="false">SUMIF($B$5:$B$18,"A",$E$5:$E$18)</f>
        <v>372</v>
      </c>
    </row>
    <row r="21" customFormat="false" ht="15" hidden="false" customHeight="true" outlineLevel="0" collapsed="false">
      <c r="A21" s="14" t="s">
        <v>60</v>
      </c>
      <c r="E21" s="15" t="n">
        <f aca="false">SUMIF($B$5:$B$18,"B",$E$5:$E$18)</f>
        <v>115</v>
      </c>
    </row>
    <row r="22" customFormat="false" ht="15" hidden="false" customHeight="true" outlineLevel="0" collapsed="false">
      <c r="A22" s="14" t="s">
        <v>61</v>
      </c>
      <c r="E22" s="16" t="n">
        <f aca="false">E20+E21</f>
        <v>487</v>
      </c>
    </row>
    <row r="23" customFormat="false" ht="15" hidden="false" customHeight="true" outlineLevel="0" collapsed="false">
      <c r="A23" s="3" t="s">
        <v>62</v>
      </c>
      <c r="E23" s="17" t="n">
        <f aca="false">E22/52</f>
        <v>9.36538461538462</v>
      </c>
    </row>
    <row r="25" customFormat="false" ht="15" hidden="false" customHeight="true" outlineLevel="0" collapsed="false">
      <c r="A25" s="3" t="s">
        <v>63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6"/>
    <col collapsed="false" customWidth="true" hidden="false" outlineLevel="0" max="2" min="2" style="1" width="9"/>
    <col collapsed="false" customWidth="true" hidden="false" outlineLevel="0" max="3" min="3" style="1" width="13"/>
    <col collapsed="false" customWidth="true" hidden="false" outlineLevel="0" max="4" min="4" style="1" width="11"/>
    <col collapsed="false" customWidth="true" hidden="false" outlineLevel="0" max="5" min="5" style="1" width="13"/>
  </cols>
  <sheetData>
    <row r="1" customFormat="false" ht="17.25" hidden="false" customHeight="true" outlineLevel="0" collapsed="false">
      <c r="A1" s="2" t="s">
        <v>64</v>
      </c>
    </row>
    <row r="2" customFormat="false" ht="15" hidden="false" customHeight="true" outlineLevel="0" collapsed="false">
      <c r="A2" s="3" t="s">
        <v>65</v>
      </c>
    </row>
    <row r="4" customFormat="false" ht="15" hidden="false" customHeight="true" outlineLevel="0" collapsed="false">
      <c r="A4" s="11" t="s">
        <v>24</v>
      </c>
      <c r="B4" s="11" t="s">
        <v>25</v>
      </c>
      <c r="C4" s="11" t="s">
        <v>66</v>
      </c>
      <c r="D4" s="11" t="s">
        <v>67</v>
      </c>
      <c r="E4" s="11" t="s">
        <v>68</v>
      </c>
    </row>
    <row r="5" customFormat="false" ht="15" hidden="false" customHeight="true" outlineLevel="0" collapsed="false">
      <c r="A5" s="6" t="s">
        <v>69</v>
      </c>
      <c r="B5" s="12" t="s">
        <v>30</v>
      </c>
      <c r="C5" s="9" t="n">
        <v>8000</v>
      </c>
      <c r="D5" s="7" t="n">
        <v>1</v>
      </c>
      <c r="E5" s="18" t="n">
        <f aca="false">C5*D5</f>
        <v>8000</v>
      </c>
      <c r="F5" s="3" t="s">
        <v>70</v>
      </c>
    </row>
    <row r="6" customFormat="false" ht="15" hidden="false" customHeight="true" outlineLevel="0" collapsed="false">
      <c r="A6" s="6" t="s">
        <v>71</v>
      </c>
      <c r="B6" s="12" t="s">
        <v>30</v>
      </c>
      <c r="C6" s="9" t="n">
        <v>1500</v>
      </c>
      <c r="D6" s="7" t="n">
        <v>1</v>
      </c>
      <c r="E6" s="18" t="n">
        <f aca="false">C6*D6</f>
        <v>1500</v>
      </c>
      <c r="F6" s="3" t="s">
        <v>72</v>
      </c>
    </row>
    <row r="7" customFormat="false" ht="15" hidden="false" customHeight="true" outlineLevel="0" collapsed="false">
      <c r="A7" s="6" t="s">
        <v>73</v>
      </c>
      <c r="B7" s="12" t="s">
        <v>30</v>
      </c>
      <c r="C7" s="9" t="n">
        <v>1200</v>
      </c>
      <c r="D7" s="7" t="n">
        <v>1</v>
      </c>
      <c r="E7" s="18" t="n">
        <f aca="false">C7*D7</f>
        <v>1200</v>
      </c>
      <c r="F7" s="3" t="s">
        <v>74</v>
      </c>
    </row>
    <row r="8" customFormat="false" ht="15" hidden="false" customHeight="true" outlineLevel="0" collapsed="false">
      <c r="A8" s="6" t="s">
        <v>75</v>
      </c>
      <c r="B8" s="12" t="s">
        <v>30</v>
      </c>
      <c r="C8" s="9" t="n">
        <v>4000</v>
      </c>
      <c r="D8" s="7" t="n">
        <v>1</v>
      </c>
      <c r="E8" s="18" t="n">
        <f aca="false">C8*D8</f>
        <v>4000</v>
      </c>
      <c r="F8" s="3" t="s">
        <v>76</v>
      </c>
    </row>
    <row r="9" customFormat="false" ht="15" hidden="false" customHeight="true" outlineLevel="0" collapsed="false">
      <c r="A9" s="6" t="s">
        <v>77</v>
      </c>
      <c r="B9" s="12" t="s">
        <v>30</v>
      </c>
      <c r="C9" s="9" t="n">
        <v>6000</v>
      </c>
      <c r="D9" s="7" t="n">
        <v>1</v>
      </c>
      <c r="E9" s="18" t="n">
        <f aca="false">C9*D9</f>
        <v>6000</v>
      </c>
      <c r="F9" s="3" t="s">
        <v>78</v>
      </c>
    </row>
    <row r="10" customFormat="false" ht="15" hidden="false" customHeight="true" outlineLevel="0" collapsed="false">
      <c r="A10" s="6" t="s">
        <v>79</v>
      </c>
      <c r="B10" s="12" t="s">
        <v>30</v>
      </c>
      <c r="C10" s="9" t="n">
        <v>1500</v>
      </c>
      <c r="D10" s="7" t="n">
        <v>1</v>
      </c>
      <c r="E10" s="18" t="n">
        <f aca="false">C10*D10</f>
        <v>1500</v>
      </c>
      <c r="F10" s="3" t="s">
        <v>80</v>
      </c>
    </row>
    <row r="11" customFormat="false" ht="15" hidden="false" customHeight="true" outlineLevel="0" collapsed="false">
      <c r="A11" s="6" t="s">
        <v>81</v>
      </c>
      <c r="B11" s="12" t="s">
        <v>30</v>
      </c>
      <c r="C11" s="9" t="n">
        <v>250</v>
      </c>
      <c r="D11" s="7" t="n">
        <v>1</v>
      </c>
      <c r="E11" s="18" t="n">
        <f aca="false">C11*D11</f>
        <v>250</v>
      </c>
      <c r="F11" s="3" t="s">
        <v>82</v>
      </c>
    </row>
    <row r="12" customFormat="false" ht="15" hidden="false" customHeight="true" outlineLevel="0" collapsed="false">
      <c r="A12" s="6" t="s">
        <v>83</v>
      </c>
      <c r="B12" s="12" t="s">
        <v>53</v>
      </c>
      <c r="C12" s="9" t="n">
        <v>18000</v>
      </c>
      <c r="D12" s="7" t="n">
        <v>1</v>
      </c>
      <c r="E12" s="18" t="n">
        <f aca="false">C12*D12</f>
        <v>18000</v>
      </c>
      <c r="F12" s="3" t="s">
        <v>84</v>
      </c>
    </row>
    <row r="13" customFormat="false" ht="15" hidden="false" customHeight="true" outlineLevel="0" collapsed="false">
      <c r="A13" s="6" t="s">
        <v>85</v>
      </c>
      <c r="B13" s="12" t="s">
        <v>53</v>
      </c>
      <c r="C13" s="9" t="n">
        <v>4000</v>
      </c>
      <c r="D13" s="7" t="n">
        <v>1</v>
      </c>
      <c r="E13" s="18" t="n">
        <f aca="false">C13*D13</f>
        <v>4000</v>
      </c>
      <c r="F13" s="3" t="s">
        <v>86</v>
      </c>
    </row>
    <row r="14" customFormat="false" ht="15" hidden="false" customHeight="true" outlineLevel="0" collapsed="false">
      <c r="A14" s="6" t="s">
        <v>87</v>
      </c>
      <c r="B14" s="12" t="s">
        <v>53</v>
      </c>
      <c r="C14" s="9" t="n">
        <v>3000</v>
      </c>
      <c r="D14" s="7" t="n">
        <v>1</v>
      </c>
      <c r="E14" s="18" t="n">
        <f aca="false">C14*D14</f>
        <v>3000</v>
      </c>
      <c r="F14" s="3" t="s">
        <v>88</v>
      </c>
    </row>
    <row r="15" customFormat="false" ht="15" hidden="false" customHeight="true" outlineLevel="0" collapsed="false">
      <c r="A15" s="6" t="s">
        <v>89</v>
      </c>
      <c r="B15" s="12" t="s">
        <v>53</v>
      </c>
      <c r="C15" s="9" t="n">
        <v>1200</v>
      </c>
      <c r="D15" s="7" t="n">
        <v>1</v>
      </c>
      <c r="E15" s="18" t="n">
        <f aca="false">C15*D15</f>
        <v>1200</v>
      </c>
      <c r="F15" s="3" t="s">
        <v>90</v>
      </c>
    </row>
    <row r="16" customFormat="false" ht="15" hidden="false" customHeight="true" outlineLevel="0" collapsed="false">
      <c r="A16" s="6" t="s">
        <v>91</v>
      </c>
      <c r="B16" s="12" t="s">
        <v>53</v>
      </c>
      <c r="C16" s="9" t="n">
        <v>0</v>
      </c>
      <c r="D16" s="7" t="n">
        <v>1</v>
      </c>
      <c r="E16" s="18" t="n">
        <f aca="false">C16*D16</f>
        <v>0</v>
      </c>
      <c r="F16" s="3" t="s">
        <v>92</v>
      </c>
    </row>
    <row r="17" customFormat="false" ht="15" hidden="false" customHeight="true" outlineLevel="0" collapsed="false">
      <c r="A17" s="6" t="s">
        <v>93</v>
      </c>
      <c r="B17" s="12" t="s">
        <v>53</v>
      </c>
      <c r="C17" s="9" t="n">
        <v>0</v>
      </c>
      <c r="D17" s="7" t="n">
        <v>1</v>
      </c>
      <c r="E17" s="18" t="n">
        <f aca="false">C17*D17</f>
        <v>0</v>
      </c>
      <c r="F17" s="3" t="s">
        <v>94</v>
      </c>
    </row>
    <row r="19" customFormat="false" ht="15" hidden="false" customHeight="true" outlineLevel="0" collapsed="false">
      <c r="A19" s="14" t="s">
        <v>95</v>
      </c>
      <c r="E19" s="19" t="n">
        <f aca="false">SUMIF($B$5:$B$17,"A",$E$5:$E$17)</f>
        <v>22450</v>
      </c>
    </row>
    <row r="20" customFormat="false" ht="15" hidden="false" customHeight="true" outlineLevel="0" collapsed="false">
      <c r="A20" s="14" t="s">
        <v>96</v>
      </c>
      <c r="E20" s="19" t="n">
        <f aca="false">SUMIF($B$5:$B$17,"B",$E$5:$E$17)</f>
        <v>26200</v>
      </c>
    </row>
    <row r="21" customFormat="false" ht="15" hidden="false" customHeight="true" outlineLevel="0" collapsed="false">
      <c r="A21" s="14" t="s">
        <v>61</v>
      </c>
      <c r="E21" s="20" t="n">
        <f aca="false">E19+E20</f>
        <v>48650</v>
      </c>
    </row>
    <row r="23" customFormat="false" ht="15" hidden="false" customHeight="true" outlineLevel="0" collapsed="false">
      <c r="A23" s="3" t="s">
        <v>97</v>
      </c>
    </row>
    <row r="24" customFormat="false" ht="15" hidden="false" customHeight="true" outlineLevel="0" collapsed="false">
      <c r="A24" s="3" t="s">
        <v>98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2" min="2" style="1" width="16"/>
    <col collapsed="false" customWidth="true" hidden="false" outlineLevel="0" max="3" min="3" style="1" width="62"/>
  </cols>
  <sheetData>
    <row r="1" customFormat="false" ht="17.25" hidden="false" customHeight="true" outlineLevel="0" collapsed="false">
      <c r="A1" s="2" t="s">
        <v>99</v>
      </c>
    </row>
    <row r="2" customFormat="false" ht="15" hidden="false" customHeight="true" outlineLevel="0" collapsed="false">
      <c r="A2" s="3" t="s">
        <v>100</v>
      </c>
    </row>
    <row r="4" customFormat="false" ht="15" hidden="false" customHeight="true" outlineLevel="0" collapsed="false">
      <c r="A4" s="21" t="s">
        <v>101</v>
      </c>
      <c r="B4" s="22"/>
      <c r="C4" s="22"/>
    </row>
    <row r="5" customFormat="false" ht="15" hidden="false" customHeight="true" outlineLevel="0" collapsed="false">
      <c r="A5" s="6" t="s">
        <v>102</v>
      </c>
      <c r="B5" s="23" t="n">
        <f aca="false">Założenia!$B$7+Założenia!$B$8*Założenia!$B$9</f>
        <v>390000</v>
      </c>
      <c r="C5" s="8" t="s">
        <v>103</v>
      </c>
    </row>
    <row r="6" customFormat="false" ht="15" hidden="false" customHeight="true" outlineLevel="0" collapsed="false">
      <c r="A6" s="6" t="s">
        <v>104</v>
      </c>
      <c r="B6" s="23" t="n">
        <f aca="false">Koszty!$E$19</f>
        <v>22450</v>
      </c>
      <c r="C6" s="8" t="s">
        <v>105</v>
      </c>
    </row>
    <row r="7" customFormat="false" ht="15" hidden="false" customHeight="true" outlineLevel="0" collapsed="false">
      <c r="A7" s="6" t="s">
        <v>106</v>
      </c>
      <c r="B7" s="23" t="n">
        <f aca="false">Praca!$E$20*Założenia!$B$6</f>
        <v>81840</v>
      </c>
      <c r="C7" s="8" t="s">
        <v>107</v>
      </c>
    </row>
    <row r="8" customFormat="false" ht="15" hidden="false" customHeight="true" outlineLevel="0" collapsed="false">
      <c r="A8" s="6" t="s">
        <v>108</v>
      </c>
      <c r="B8" s="23" t="n">
        <f aca="false">(B6+B7)*Założenia!$B$10</f>
        <v>12514.8</v>
      </c>
      <c r="C8" s="8" t="s">
        <v>109</v>
      </c>
    </row>
    <row r="9" customFormat="false" ht="15" hidden="false" customHeight="true" outlineLevel="0" collapsed="false">
      <c r="A9" s="24" t="s">
        <v>110</v>
      </c>
      <c r="B9" s="25" t="n">
        <f aca="false">SUM(B5:B8)</f>
        <v>506804.8</v>
      </c>
      <c r="C9" s="8" t="s">
        <v>111</v>
      </c>
    </row>
    <row r="10" customFormat="false" ht="15" hidden="false" customHeight="true" outlineLevel="0" collapsed="false">
      <c r="A10" s="6" t="s">
        <v>112</v>
      </c>
      <c r="B10" s="26" t="n">
        <f aca="false">(B9-B5)/B9</f>
        <v>0.230472955267985</v>
      </c>
      <c r="C10" s="8" t="s">
        <v>113</v>
      </c>
    </row>
    <row r="11" customFormat="false" ht="15" hidden="false" customHeight="true" outlineLevel="0" collapsed="false">
      <c r="A11" s="6" t="s">
        <v>114</v>
      </c>
      <c r="B11" s="23" t="n">
        <f aca="false">B9*1.23</f>
        <v>623369.904</v>
      </c>
      <c r="C11" s="8" t="s">
        <v>115</v>
      </c>
    </row>
    <row r="13" customFormat="false" ht="15" hidden="false" customHeight="true" outlineLevel="0" collapsed="false">
      <c r="A13" s="27" t="s">
        <v>116</v>
      </c>
      <c r="B13" s="28"/>
      <c r="C13" s="28"/>
    </row>
    <row r="14" customFormat="false" ht="15" hidden="false" customHeight="true" outlineLevel="0" collapsed="false">
      <c r="A14" s="6" t="s">
        <v>117</v>
      </c>
      <c r="B14" s="23" t="n">
        <f aca="false">Koszty!$E$20</f>
        <v>26200</v>
      </c>
      <c r="C14" s="8" t="s">
        <v>118</v>
      </c>
    </row>
    <row r="15" customFormat="false" ht="15" hidden="false" customHeight="true" outlineLevel="0" collapsed="false">
      <c r="A15" s="6" t="s">
        <v>119</v>
      </c>
      <c r="B15" s="23" t="n">
        <f aca="false">Praca!$E$21*Założenia!$B$6</f>
        <v>25300</v>
      </c>
      <c r="C15" s="8" t="s">
        <v>120</v>
      </c>
    </row>
    <row r="16" customFormat="false" ht="15" hidden="false" customHeight="true" outlineLevel="0" collapsed="false">
      <c r="A16" s="6" t="s">
        <v>121</v>
      </c>
      <c r="B16" s="23" t="n">
        <f aca="false">(B14+B15)*Założenia!$B$11</f>
        <v>15450</v>
      </c>
      <c r="C16" s="8" t="s">
        <v>122</v>
      </c>
    </row>
    <row r="17" customFormat="false" ht="15" hidden="false" customHeight="true" outlineLevel="0" collapsed="false">
      <c r="A17" s="24" t="s">
        <v>123</v>
      </c>
      <c r="B17" s="25" t="n">
        <f aca="false">SUM(B14:B16)</f>
        <v>66950</v>
      </c>
      <c r="C17" s="8" t="s">
        <v>124</v>
      </c>
    </row>
    <row r="18" customFormat="false" ht="15" hidden="false" customHeight="true" outlineLevel="0" collapsed="false">
      <c r="A18" s="6" t="s">
        <v>125</v>
      </c>
      <c r="B18" s="23" t="n">
        <f aca="false">B17*1.23</f>
        <v>82348.5</v>
      </c>
      <c r="C18" s="8" t="s">
        <v>126</v>
      </c>
    </row>
    <row r="20" customFormat="false" ht="15" hidden="false" customHeight="true" outlineLevel="0" collapsed="false">
      <c r="A20" s="4" t="s">
        <v>127</v>
      </c>
      <c r="B20" s="5"/>
      <c r="C20" s="5"/>
    </row>
    <row r="21" customFormat="false" ht="15" hidden="false" customHeight="true" outlineLevel="0" collapsed="false">
      <c r="A21" s="24" t="s">
        <v>128</v>
      </c>
      <c r="B21" s="25" t="n">
        <f aca="false">Wnioski!$B$9+Wnioski!$B$17</f>
        <v>573754.8</v>
      </c>
      <c r="C21" s="8" t="s">
        <v>129</v>
      </c>
    </row>
    <row r="22" customFormat="false" ht="15" hidden="false" customHeight="true" outlineLevel="0" collapsed="false">
      <c r="A22" s="6" t="s">
        <v>130</v>
      </c>
      <c r="B22" s="23" t="n">
        <f aca="false">Wnioski!$B$9-B5+Wnioski!$B$17</f>
        <v>183754.8</v>
      </c>
      <c r="C22" s="8" t="s">
        <v>131</v>
      </c>
    </row>
    <row r="23" customFormat="false" ht="15" hidden="false" customHeight="true" outlineLevel="0" collapsed="false">
      <c r="A23" s="6" t="s">
        <v>132</v>
      </c>
      <c r="B23" s="23" t="n">
        <f aca="false">-(Koszty!$E$19+Koszty!$E$20)</f>
        <v>-48650</v>
      </c>
      <c r="C23" s="8" t="s">
        <v>133</v>
      </c>
    </row>
    <row r="24" customFormat="false" ht="15" hidden="false" customHeight="true" outlineLevel="0" collapsed="false">
      <c r="A24" s="6" t="s">
        <v>134</v>
      </c>
      <c r="B24" s="23" t="n">
        <f aca="false">B22+B23</f>
        <v>135104.8</v>
      </c>
      <c r="C24" s="8" t="s">
        <v>135</v>
      </c>
    </row>
    <row r="25" customFormat="false" ht="15" hidden="false" customHeight="true" outlineLevel="0" collapsed="false">
      <c r="A25" s="6" t="s">
        <v>136</v>
      </c>
      <c r="B25" s="23" t="n">
        <f aca="false">-B24*(Założenia!$B$12+Założenia!$B$13)</f>
        <v>-32290.0472</v>
      </c>
      <c r="C25" s="8" t="s">
        <v>18</v>
      </c>
    </row>
    <row r="26" customFormat="false" ht="15" hidden="false" customHeight="true" outlineLevel="0" collapsed="false">
      <c r="A26" s="24" t="s">
        <v>137</v>
      </c>
      <c r="B26" s="25" t="n">
        <f aca="false">B24+B25</f>
        <v>102814.7528</v>
      </c>
      <c r="C26" s="8" t="s">
        <v>138</v>
      </c>
    </row>
    <row r="27" customFormat="false" ht="15" hidden="false" customHeight="true" outlineLevel="0" collapsed="false">
      <c r="A27" s="6" t="s">
        <v>139</v>
      </c>
      <c r="B27" s="29" t="n">
        <f aca="false">Praca!$E$22</f>
        <v>487</v>
      </c>
      <c r="C27" s="8" t="s">
        <v>140</v>
      </c>
    </row>
    <row r="28" customFormat="false" ht="15" hidden="false" customHeight="true" outlineLevel="0" collapsed="false">
      <c r="A28" s="24" t="s">
        <v>141</v>
      </c>
      <c r="B28" s="25" t="n">
        <f aca="false">IFERROR(B26/B27,0)</f>
        <v>211.118588911704</v>
      </c>
      <c r="C28" s="8" t="s">
        <v>142</v>
      </c>
    </row>
    <row r="29" customFormat="false" ht="15" hidden="false" customHeight="true" outlineLevel="0" collapsed="false">
      <c r="A29" s="6" t="s">
        <v>143</v>
      </c>
      <c r="B29" s="23" t="n">
        <f aca="false">B5*Założenia!$B$14</f>
        <v>39000</v>
      </c>
      <c r="C29" s="8" t="s">
        <v>144</v>
      </c>
    </row>
    <row r="31" customFormat="false" ht="15" hidden="false" customHeight="true" outlineLevel="0" collapsed="false">
      <c r="A31" s="3" t="s">
        <v>145</v>
      </c>
    </row>
    <row r="32" customFormat="false" ht="15" hidden="false" customHeight="true" outlineLevel="0" collapsed="false">
      <c r="A32" s="3" t="s">
        <v>146</v>
      </c>
    </row>
    <row r="33" customFormat="false" ht="15" hidden="false" customHeight="true" outlineLevel="0" collapsed="false">
      <c r="A33" s="3" t="s">
        <v>147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2026-10-19T17:52:46Z</dcterms:created>
  <dc:creator>openpyxl</dc:creator>
  <dc:description/>
  <dc:language>en-US</dc:language>
  <cp:lastModifiedBy/>
  <dcterms:modified xsi:type="dcterms:W3CDTF">2026-10-19T17:53:02Z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