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Akademi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<sst xmlns="http://schemas.openxmlformats.org/spreadsheetml/2006/main" count="299" uniqueCount="226">
  <si>
    <t xml:space="preserve">Budżet pierwszej edycji Nagrody Konstela</t>
  </si>
  <si>
    <t xml:space="preserve">Cztery osobne budżety,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</si>
  <si>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</si>
  <si>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</si>
  <si>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</si>
  <si>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</si>
  <si>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</si>
  <si>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</si>
  <si>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</si>
  <si>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</si>
  <si>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</si>
  <si>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</si>
  <si>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</si>
  <si>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</si>
  <si>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</si>
  <si>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</si>
  <si>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</si>
  <si>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</si>
  <si>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</si>
  <si>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</si>
  <si>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</si>
  <si>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</si>
  <si>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</si>
  <si>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</si>
  <si>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</si>
  <si>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</si>
  <si>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</si>
  <si>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</si>
  <si>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</si>
  <si>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</si>
  <si>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</si>
  <si>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</si>
  <si>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</si>
  <si>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</si>
  <si>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</si>
  <si>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</si>
  <si>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</si>
  <si>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</si>
  <si>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</si>
  <si>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</si>
  <si>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</si>
  <si>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</si>
  <si>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</si>
  <si>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</si>
  <si>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</si>
  <si>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</si>
  <si>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</si>
  <si>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</si>
  <si>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</si>
  <si>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</si>
  <si>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</si>
  <si>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</si>
  <si>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</si>
  <si>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</si>
  <si>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obu kwota Budżetu Plebiscytu wzrośnie.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</si>
  <si>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</si>
  <si>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</si>
  <si>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</si>
  <si>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</si>
  <si>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</si>
  <si>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</si>
  <si>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</si>
  <si>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</si>
  <si>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</si>
  <si>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</si>
  <si>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</si>
  <si>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</si>
  <si>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</si>
  <si>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</si>
  <si>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</si>
  <si>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</si>
  <si>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</si>
  <si>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</si>
  <si>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</si>
  <si>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</si>
  <si>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</si>
  <si>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</si>
  <si>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</si>
  <si>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</si>
  <si>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</si>
  <si>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</si>
  <si>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</si>
  <si>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</si>
  <si>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</si>
  <si>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</si>
  <si>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</si>
  <si>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</si>
  <si>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</si>
  <si>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</si>
  <si>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</si>
  <si>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</si>
  <si>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</si>
  <si>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</si>
  <si>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</si>
  <si>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</si>
  <si>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</si>
  <si>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</si>
  <si>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</si>
  <si>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</si>
  <si>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</si>
  <si>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</si>
  <si>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</si>
  <si>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</si>
  <si>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</si>
  <si>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</si>
  <si>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</si>
  <si>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</si>
  <si>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</si>
  <si>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</si>
  <si>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</si>
  <si>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</si>
  <si>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</si>
  <si>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</si>
  <si>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</si>
  <si>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</si>
  <si>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</si>
  <si>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</si>
  <si>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</si>
  <si>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</si>
  <si>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</si>
  <si>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</si>
  <si>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</si>
  <si>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</si>
  <si>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</si>
  <si>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</si>
  <si>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</si>
  <si>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</si>
  <si>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</si>
  <si>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</si>
  <si>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</si>
  <si>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</si>
  <si>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</si>
  <si>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</si>
  <si>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</si>
  <si>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</si>
  <si>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</si>
  <si>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</si>
  <si>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</si>
  <si>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</si>
  <si>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</si>
  <si>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</si>
  <si>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</si>
  <si>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</si>
  <si>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</si>
  <si>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</si>
  <si>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</si>
  <si>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</si>
  <si>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</si>
  <si>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</si>
  <si>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</si>
  <si>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</si>
  <si>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</si>
  <si>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</si>
  <si>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</si>
  <si>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</si>
  <si>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</si>
  <si>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</si>
  <si>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</si>
  <si>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</si>
  <si>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</si>
  <si>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</si>
  <si>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</si>
  <si>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</si>
  <si>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</si>
  <si>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</si>
  <si>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</si>
  <si>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</si>
  <si>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</si>
  <si>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</si>
  <si>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</si>
  <si>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</si>
  <si>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</si>
  <si>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</si>
  <si>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</si>
  <si>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</si>
  <si>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</si>
  <si>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</si>
  <si>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</si>
  <si>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</si>
  <si>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</si>
  <si>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</si>
  <si>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</si>
  <si>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</si>
  <si>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</si>
  <si>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</si>
  <si>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</si>
  <si>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</si>
  <si>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</si>
  <si>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</si>
  <si>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</si>
  <si>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</si>
  <si>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</si>
  <si>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</si>
  <si>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</si>
  <si>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</si>
  <si>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Koszty twarde bez nagród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</si>
  <si>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</si>
  <si>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</si>
  <si>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</si>
  <si>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</si>
  <si>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</si>
  <si>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</si>
  <si>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</si>
  <si>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</si>
  <si>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</si>
  <si>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</si>
  <si>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</si>
  <si>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</si>
  <si>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</si>
  <si>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</si>
  <si>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</si>
  <si>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</si>
  <si>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</si>
  <si>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</si>
  <si>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</si>
  <si>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</si>
  <si>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</si>
  <si>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</si>
  <si>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</si>
  <si>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</si>
  <si>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pokazuje, ilu czytelników wymaga dany wolumen przy limicie z regulaminu.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</si>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</sst>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6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7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7" t="n">
        <f aca="false">'Budżet Antologii'!$D$35</f>
        <v>271700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7" t="n">
        <f aca="false">'Budżet Plebiscytu'!$D$30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7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/>
      <c r="C10" s="8" t="n">
        <f aca="false">'Budżet Nagrody'!$D$39+'Budżet Antologii'!$D$35+'Budżet Plebiscytu'!$D$30+'Budżet Akademii'!$D$27</f>
        <v>1139280.8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3"/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15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16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17</v>
      </c>
      <c r="B14" s="9" t="n">
        <v>220</v>
      </c>
      <c r="C14" s="10" t="s">
        <v>18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19</v>
      </c>
      <c r="B15" s="9" t="n">
        <v>150</v>
      </c>
      <c r="C15" s="10" t="s">
        <v>20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21</v>
      </c>
      <c r="B16" s="9" t="n">
        <v>300000</v>
      </c>
      <c r="C16" s="10" t="s">
        <v>22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23</v>
      </c>
      <c r="B17" s="9" t="n">
        <v>10000</v>
      </c>
      <c r="C17" s="10" t="s">
        <v>24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25</v>
      </c>
      <c r="B18" s="9" t="n">
        <v>9</v>
      </c>
      <c r="C18" s="10" t="s">
        <v>26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27</v>
      </c>
      <c r="B19" s="9" t="n">
        <v>150</v>
      </c>
      <c r="C19" s="10" t="s">
        <v>28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29</v>
      </c>
      <c r="B20" s="9" t="n">
        <v>35000</v>
      </c>
      <c r="C20" s="10" t="s">
        <v>30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31</v>
      </c>
      <c r="B21" s="9" t="n">
        <v>4000</v>
      </c>
      <c r="C21" s="10" t="s">
        <v>32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33</v>
      </c>
      <c r="B22" s="9" t="n">
        <v>7500</v>
      </c>
      <c r="C22" s="10" t="s">
        <v>34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35</v>
      </c>
      <c r="B23" s="9" t="n">
        <v>10</v>
      </c>
      <c r="C23" s="10" t="s">
        <v>36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37</v>
      </c>
      <c r="B24" s="9" t="n">
        <v>80000</v>
      </c>
      <c r="C24" s="10" t="s">
        <v>38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39</v>
      </c>
      <c r="B25" s="9" t="n">
        <v>3000</v>
      </c>
      <c r="C25" s="10" t="s">
        <v>40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41</v>
      </c>
      <c r="B26" s="11" t="n">
        <v>0.12</v>
      </c>
      <c r="C26" s="10" t="s">
        <v>42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43</v>
      </c>
      <c r="B27" s="11" t="n">
        <v>0.3</v>
      </c>
      <c r="C27" s="10" t="s">
        <v>44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45</v>
      </c>
      <c r="B28" s="11" t="n">
        <v>0.12</v>
      </c>
      <c r="C28" s="10" t="s">
        <v>42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46</v>
      </c>
      <c r="B29" s="11" t="n">
        <v>0.23</v>
      </c>
      <c r="C29" s="10" t="s">
        <v>47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48</v>
      </c>
      <c r="B30" s="11" t="n">
        <v>0.1</v>
      </c>
      <c r="C30" s="10" t="s">
        <v>49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50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51</v>
      </c>
      <c r="B33" s="3" t="s">
        <v>52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53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54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55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56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57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2" t="s">
        <v>58</v>
      </c>
      <c r="B41" s="12"/>
      <c r="C41" s="12"/>
    </row>
    <row r="42" customFormat="false" ht="15" hidden="false" customHeight="true" outlineLevel="0" collapsed="false">
      <c r="A42" s="3" t="s">
        <v>59</v>
      </c>
      <c r="B42" s="9" t="n">
        <v>2</v>
      </c>
      <c r="C42" s="3" t="s">
        <v>60</v>
      </c>
    </row>
    <row r="43" customFormat="false" ht="15" hidden="false" customHeight="true" outlineLevel="0" collapsed="false">
      <c r="A43" s="3" t="s">
        <v>61</v>
      </c>
      <c r="B43" s="13" t="n">
        <v>500</v>
      </c>
      <c r="C43" s="3" t="s">
        <v>62</v>
      </c>
    </row>
    <row r="44" customFormat="false" ht="15" hidden="false" customHeight="true" outlineLevel="0" collapsed="false">
      <c r="A44" s="3" t="s">
        <v>63</v>
      </c>
      <c r="B44" s="13" t="n">
        <v>2500</v>
      </c>
      <c r="C44" s="3" t="s">
        <v>64</v>
      </c>
    </row>
    <row r="45" customFormat="false" ht="15" hidden="false" customHeight="true" outlineLevel="0" collapsed="false">
      <c r="A45" s="3" t="s">
        <v>65</v>
      </c>
      <c r="B45" s="9" t="n">
        <v>15</v>
      </c>
      <c r="C45" s="3" t="s">
        <v>66</v>
      </c>
    </row>
    <row r="46" customFormat="false" ht="15" hidden="false" customHeight="true" outlineLevel="0" collapsed="false">
      <c r="A46" s="3" t="s">
        <v>67</v>
      </c>
      <c r="B46" s="9" t="n">
        <v>20</v>
      </c>
      <c r="C46" s="3" t="s">
        <v>68</v>
      </c>
    </row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1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69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6" t="s">
        <v>73</v>
      </c>
      <c r="C6" s="6" t="s">
        <v>74</v>
      </c>
      <c r="D6" s="6" t="s">
        <v>75</v>
      </c>
      <c r="E6" s="6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4" t="s">
        <v>78</v>
      </c>
      <c r="B7" s="15" t="n">
        <v>60</v>
      </c>
      <c r="C7" s="15" t="n">
        <v>0</v>
      </c>
      <c r="D7" s="16" t="n">
        <f aca="false">B7+C7*Wyjaśnienia!$B$15/60</f>
        <v>60</v>
      </c>
      <c r="E7" s="17" t="n">
        <f aca="false">D7*Wyjaśnienia!$B$14</f>
        <v>13200</v>
      </c>
      <c r="F7" s="10" t="s">
        <v>79</v>
      </c>
      <c r="G7" s="3"/>
      <c r="H7" s="3"/>
    </row>
    <row r="8" customFormat="false" ht="15" hidden="false" customHeight="true" outlineLevel="0" collapsed="false">
      <c r="A8" s="14" t="s">
        <v>80</v>
      </c>
      <c r="B8" s="15" t="n">
        <v>24</v>
      </c>
      <c r="C8" s="15" t="n">
        <v>0</v>
      </c>
      <c r="D8" s="16" t="n">
        <f aca="false">B8+C8*Wyjaśnienia!$B$15/60</f>
        <v>24</v>
      </c>
      <c r="E8" s="17" t="n">
        <f aca="false">D8*Wyjaśnienia!$B$14</f>
        <v>5280</v>
      </c>
      <c r="F8" s="10" t="s">
        <v>81</v>
      </c>
      <c r="G8" s="3"/>
      <c r="H8" s="3"/>
    </row>
    <row r="9" customFormat="false" ht="15" hidden="false" customHeight="true" outlineLevel="0" collapsed="false">
      <c r="A9" s="14" t="s">
        <v>82</v>
      </c>
      <c r="B9" s="15" t="n">
        <v>50</v>
      </c>
      <c r="C9" s="15" t="n">
        <v>0</v>
      </c>
      <c r="D9" s="16" t="n">
        <f aca="false">B9+C9*Wyjaśnienia!$B$15/60</f>
        <v>50</v>
      </c>
      <c r="E9" s="17" t="n">
        <f aca="false">D9*Wyjaśnienia!$B$14</f>
        <v>11000</v>
      </c>
      <c r="F9" s="10" t="s">
        <v>83</v>
      </c>
      <c r="G9" s="3"/>
      <c r="H9" s="3"/>
    </row>
    <row r="10" customFormat="false" ht="15" hidden="false" customHeight="true" outlineLevel="0" collapsed="false">
      <c r="A10" s="14" t="s">
        <v>84</v>
      </c>
      <c r="B10" s="15" t="n">
        <v>8</v>
      </c>
      <c r="C10" s="15" t="n">
        <v>6</v>
      </c>
      <c r="D10" s="16" t="n">
        <f aca="false">B10+C10*Wyjaśnienia!$B$15/60</f>
        <v>23</v>
      </c>
      <c r="E10" s="17" t="n">
        <f aca="false">D10*Wyjaśnienia!$B$14</f>
        <v>5060</v>
      </c>
      <c r="F10" s="10" t="s">
        <v>85</v>
      </c>
      <c r="G10" s="3"/>
      <c r="H10" s="3"/>
    </row>
    <row r="11" customFormat="false" ht="15" hidden="false" customHeight="true" outlineLevel="0" collapsed="false">
      <c r="A11" s="14" t="s">
        <v>86</v>
      </c>
      <c r="B11" s="15" t="n">
        <v>10</v>
      </c>
      <c r="C11" s="15" t="n">
        <v>4</v>
      </c>
      <c r="D11" s="16" t="n">
        <f aca="false">B11+C11*Wyjaśnienia!$B$15/60</f>
        <v>20</v>
      </c>
      <c r="E11" s="17" t="n">
        <f aca="false">D11*Wyjaśnienia!$B$14</f>
        <v>4400</v>
      </c>
      <c r="F11" s="10" t="s">
        <v>87</v>
      </c>
      <c r="G11" s="3"/>
      <c r="H11" s="3"/>
    </row>
    <row r="12" customFormat="false" ht="15" hidden="false" customHeight="true" outlineLevel="0" collapsed="false">
      <c r="A12" s="14" t="s">
        <v>88</v>
      </c>
      <c r="B12" s="15" t="n">
        <v>20</v>
      </c>
      <c r="C12" s="15" t="n">
        <v>0</v>
      </c>
      <c r="D12" s="16" t="n">
        <f aca="false">B12+C12*Wyjaśnienia!$B$15/60</f>
        <v>20</v>
      </c>
      <c r="E12" s="17" t="n">
        <f aca="false">D12*Wyjaśnienia!$B$14</f>
        <v>4400</v>
      </c>
      <c r="F12" s="10" t="s">
        <v>89</v>
      </c>
      <c r="G12" s="3"/>
      <c r="H12" s="3"/>
    </row>
    <row r="13" customFormat="false" ht="15" hidden="false" customHeight="true" outlineLevel="0" collapsed="false">
      <c r="A13" s="14" t="s">
        <v>90</v>
      </c>
      <c r="B13" s="15" t="n">
        <v>40</v>
      </c>
      <c r="C13" s="15" t="n">
        <v>0</v>
      </c>
      <c r="D13" s="16" t="n">
        <f aca="false">B13+C13*Wyjaśnienia!$B$15/60</f>
        <v>40</v>
      </c>
      <c r="E13" s="17" t="n">
        <f aca="false">D13*Wyjaśnienia!$B$14</f>
        <v>8800</v>
      </c>
      <c r="F13" s="10" t="s">
        <v>91</v>
      </c>
      <c r="G13" s="3"/>
      <c r="H13" s="3"/>
    </row>
    <row r="14" customFormat="false" ht="15" hidden="false" customHeight="true" outlineLevel="0" collapsed="false">
      <c r="A14" s="14" t="s">
        <v>92</v>
      </c>
      <c r="B14" s="15" t="n">
        <v>25</v>
      </c>
      <c r="C14" s="15" t="n">
        <v>0</v>
      </c>
      <c r="D14" s="16" t="n">
        <f aca="false">B14+C14*Wyjaśnienia!$B$15/60</f>
        <v>25</v>
      </c>
      <c r="E14" s="17" t="n">
        <f aca="false">D14*Wyjaśnienia!$B$14</f>
        <v>5500</v>
      </c>
      <c r="F14" s="10" t="s">
        <v>93</v>
      </c>
      <c r="G14" s="3"/>
      <c r="H14" s="3"/>
    </row>
    <row r="15" customFormat="false" ht="15" hidden="false" customHeight="true" outlineLevel="0" collapsed="false">
      <c r="A15" s="14" t="s">
        <v>94</v>
      </c>
      <c r="B15" s="15" t="n">
        <v>45</v>
      </c>
      <c r="C15" s="15" t="n">
        <v>0</v>
      </c>
      <c r="D15" s="16" t="n">
        <f aca="false">B15+C15*Wyjaśnienia!$B$15/60</f>
        <v>45</v>
      </c>
      <c r="E15" s="17" t="n">
        <f aca="false">D15*Wyjaśnienia!$B$14</f>
        <v>9900</v>
      </c>
      <c r="F15" s="10" t="s">
        <v>95</v>
      </c>
      <c r="G15" s="3"/>
      <c r="H15" s="3"/>
    </row>
    <row r="16" customFormat="false" ht="15" hidden="false" customHeight="true" outlineLevel="0" collapsed="false">
      <c r="A16" s="14" t="s">
        <v>96</v>
      </c>
      <c r="B16" s="15" t="n">
        <v>25</v>
      </c>
      <c r="C16" s="15" t="n">
        <v>0</v>
      </c>
      <c r="D16" s="16" t="n">
        <f aca="false">B16+C16*Wyjaśnienia!$B$15/60</f>
        <v>25</v>
      </c>
      <c r="E16" s="17" t="n">
        <f aca="false">D16*Wyjaśnienia!$B$14</f>
        <v>5500</v>
      </c>
      <c r="F16" s="10" t="s">
        <v>97</v>
      </c>
      <c r="G16" s="3"/>
      <c r="H16" s="3"/>
    </row>
    <row r="17" customFormat="false" ht="15" hidden="false" customHeight="true" outlineLevel="0" collapsed="false">
      <c r="A17" s="14" t="s">
        <v>98</v>
      </c>
      <c r="B17" s="15" t="n">
        <v>40</v>
      </c>
      <c r="C17" s="15" t="n">
        <v>0</v>
      </c>
      <c r="D17" s="16" t="n">
        <f aca="false">B17+C17*Wyjaśnienia!$B$15/60</f>
        <v>40</v>
      </c>
      <c r="E17" s="17" t="n">
        <f aca="false">D17*Wyjaśnienia!$B$14</f>
        <v>8800</v>
      </c>
      <c r="F17" s="10" t="s">
        <v>99</v>
      </c>
      <c r="G17" s="3"/>
      <c r="H17" s="3"/>
    </row>
    <row r="18" customFormat="false" ht="15" hidden="false" customHeight="true" outlineLevel="0" collapsed="false">
      <c r="A18" s="6" t="s">
        <v>100</v>
      </c>
      <c r="B18" s="3"/>
      <c r="C18" s="3"/>
      <c r="D18" s="18" t="n">
        <f aca="false">SUM(D7:D17)</f>
        <v>372</v>
      </c>
      <c r="E18" s="8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101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72</v>
      </c>
      <c r="B21" s="6" t="s">
        <v>102</v>
      </c>
      <c r="C21" s="6" t="s">
        <v>103</v>
      </c>
      <c r="D21" s="6" t="s">
        <v>76</v>
      </c>
      <c r="E21" s="6" t="s">
        <v>77</v>
      </c>
      <c r="F21" s="3"/>
      <c r="G21" s="3"/>
      <c r="H21" s="3"/>
    </row>
    <row r="22" customFormat="false" ht="15" hidden="false" customHeight="true" outlineLevel="0" collapsed="false">
      <c r="A22" s="14" t="s">
        <v>104</v>
      </c>
      <c r="B22" s="19" t="n">
        <v>8000</v>
      </c>
      <c r="C22" s="15" t="n">
        <v>1</v>
      </c>
      <c r="D22" s="17" t="n">
        <f aca="false">B22*C22</f>
        <v>8000</v>
      </c>
      <c r="E22" s="10" t="s">
        <v>105</v>
      </c>
      <c r="F22" s="3"/>
      <c r="G22" s="3"/>
      <c r="H22" s="3"/>
    </row>
    <row r="23" customFormat="false" ht="15" hidden="false" customHeight="true" outlineLevel="0" collapsed="false">
      <c r="A23" s="14" t="s">
        <v>106</v>
      </c>
      <c r="B23" s="19" t="n">
        <v>1500</v>
      </c>
      <c r="C23" s="15" t="n">
        <v>1</v>
      </c>
      <c r="D23" s="17" t="n">
        <f aca="false">B23*C23</f>
        <v>1500</v>
      </c>
      <c r="E23" s="10" t="s">
        <v>107</v>
      </c>
      <c r="F23" s="3"/>
      <c r="G23" s="3"/>
      <c r="H23" s="3"/>
    </row>
    <row r="24" customFormat="false" ht="15" hidden="false" customHeight="true" outlineLevel="0" collapsed="false">
      <c r="A24" s="14" t="s">
        <v>108</v>
      </c>
      <c r="B24" s="19" t="n">
        <v>1200</v>
      </c>
      <c r="C24" s="15" t="n">
        <v>1</v>
      </c>
      <c r="D24" s="17" t="n">
        <f aca="false">B24*C24</f>
        <v>1200</v>
      </c>
      <c r="E24" s="10" t="s">
        <v>109</v>
      </c>
      <c r="F24" s="3"/>
      <c r="G24" s="3"/>
      <c r="H24" s="3"/>
    </row>
    <row r="25" customFormat="false" ht="15" hidden="false" customHeight="true" outlineLevel="0" collapsed="false">
      <c r="A25" s="14" t="s">
        <v>110</v>
      </c>
      <c r="B25" s="19" t="n">
        <v>4000</v>
      </c>
      <c r="C25" s="15" t="n">
        <v>1</v>
      </c>
      <c r="D25" s="17" t="n">
        <f aca="false">B25*C25</f>
        <v>4000</v>
      </c>
      <c r="E25" s="10" t="s">
        <v>111</v>
      </c>
      <c r="F25" s="3"/>
      <c r="G25" s="3"/>
      <c r="H25" s="3"/>
    </row>
    <row r="26" customFormat="false" ht="15" hidden="false" customHeight="true" outlineLevel="0" collapsed="false">
      <c r="A26" s="14" t="s">
        <v>112</v>
      </c>
      <c r="B26" s="19" t="n">
        <v>1500</v>
      </c>
      <c r="C26" s="15" t="n">
        <v>1</v>
      </c>
      <c r="D26" s="17" t="n">
        <f aca="false">B26*C26</f>
        <v>1500</v>
      </c>
      <c r="E26" s="10" t="s">
        <v>113</v>
      </c>
      <c r="F26" s="3"/>
      <c r="G26" s="3"/>
      <c r="H26" s="3"/>
    </row>
    <row r="27" customFormat="false" ht="15" hidden="false" customHeight="true" outlineLevel="0" collapsed="false">
      <c r="A27" s="14" t="s">
        <v>114</v>
      </c>
      <c r="B27" s="19" t="n">
        <v>250</v>
      </c>
      <c r="C27" s="15" t="n">
        <v>1</v>
      </c>
      <c r="D27" s="17" t="n">
        <f aca="false">B27*C27</f>
        <v>250</v>
      </c>
      <c r="E27" s="10" t="s">
        <v>115</v>
      </c>
      <c r="F27" s="3"/>
      <c r="G27" s="3"/>
      <c r="H27" s="3"/>
    </row>
    <row r="28" customFormat="false" ht="15" hidden="false" customHeight="true" outlineLevel="0" collapsed="false">
      <c r="A28" s="14" t="s">
        <v>116</v>
      </c>
      <c r="B28" s="19" t="n">
        <v>32000</v>
      </c>
      <c r="C28" s="15" t="n">
        <v>1</v>
      </c>
      <c r="D28" s="17" t="n">
        <f aca="false">B28*C28</f>
        <v>32000</v>
      </c>
      <c r="E28" s="10" t="s">
        <v>117</v>
      </c>
      <c r="F28" s="3" t="s">
        <v>118</v>
      </c>
      <c r="G28" s="3"/>
      <c r="H28" s="3"/>
    </row>
    <row r="29" customFormat="false" ht="15" hidden="false" customHeight="true" outlineLevel="0" collapsed="false">
      <c r="A29" s="14" t="s">
        <v>119</v>
      </c>
      <c r="B29" s="19" t="n">
        <v>15000</v>
      </c>
      <c r="C29" s="15" t="n">
        <v>1</v>
      </c>
      <c r="D29" s="17" t="n">
        <f aca="false">B29*C29</f>
        <v>15000</v>
      </c>
      <c r="E29" s="10" t="s">
        <v>120</v>
      </c>
      <c r="F29" s="3"/>
      <c r="G29" s="3"/>
      <c r="H29" s="3"/>
    </row>
    <row r="30" customFormat="false" ht="15" hidden="false" customHeight="true" outlineLevel="0" collapsed="false">
      <c r="A30" s="14" t="s">
        <v>121</v>
      </c>
      <c r="B30" s="19" t="n">
        <v>8000</v>
      </c>
      <c r="C30" s="15" t="n">
        <v>1</v>
      </c>
      <c r="D30" s="17" t="n">
        <f aca="false">B30*C30</f>
        <v>8000</v>
      </c>
      <c r="E30" s="10" t="s">
        <v>122</v>
      </c>
      <c r="F30" s="3"/>
      <c r="G30" s="3"/>
      <c r="H30" s="3"/>
    </row>
    <row r="31" customFormat="false" ht="15" hidden="false" customHeight="true" outlineLevel="0" collapsed="false">
      <c r="A31" s="14" t="s">
        <v>123</v>
      </c>
      <c r="B31" s="19" t="n">
        <v>0</v>
      </c>
      <c r="C31" s="15" t="n">
        <v>1</v>
      </c>
      <c r="D31" s="17" t="n">
        <f aca="false">B31*C31</f>
        <v>0</v>
      </c>
      <c r="E31" s="10" t="s">
        <v>124</v>
      </c>
      <c r="F31" s="3"/>
      <c r="G31" s="3"/>
      <c r="H31" s="3"/>
    </row>
    <row r="32" customFormat="false" ht="15" hidden="false" customHeight="true" outlineLevel="0" collapsed="false">
      <c r="A32" s="6" t="s">
        <v>125</v>
      </c>
      <c r="B32" s="3"/>
      <c r="C32" s="3"/>
      <c r="D32" s="8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126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4" t="s">
        <v>127</v>
      </c>
      <c r="B35" s="3"/>
      <c r="C35" s="3"/>
      <c r="D35" s="17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4" t="s">
        <v>128</v>
      </c>
      <c r="B36" s="3"/>
      <c r="C36" s="3"/>
      <c r="D36" s="7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4" t="s">
        <v>129</v>
      </c>
      <c r="B37" s="3"/>
      <c r="C37" s="3"/>
      <c r="D37" s="7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4" t="s">
        <v>130</v>
      </c>
      <c r="B38" s="3"/>
      <c r="C38" s="3"/>
      <c r="D38" s="7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131</v>
      </c>
      <c r="B39" s="3"/>
      <c r="C39" s="3"/>
      <c r="D39" s="8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4" t="s">
        <v>132</v>
      </c>
      <c r="B40" s="3"/>
      <c r="C40" s="3"/>
      <c r="D40" s="7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133</v>
      </c>
      <c r="B41" s="3"/>
      <c r="C41" s="3"/>
      <c r="D41" s="20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134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6" t="s">
        <v>73</v>
      </c>
      <c r="C6" s="6" t="s">
        <v>74</v>
      </c>
      <c r="D6" s="6" t="s">
        <v>75</v>
      </c>
      <c r="E6" s="6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4" t="s">
        <v>135</v>
      </c>
      <c r="B7" s="15" t="n">
        <v>45</v>
      </c>
      <c r="C7" s="15" t="n">
        <v>0</v>
      </c>
      <c r="D7" s="16" t="n">
        <f aca="false">B7+C7*Wyjaśnienia!$B$15/60</f>
        <v>45</v>
      </c>
      <c r="E7" s="17" t="n">
        <f aca="false">D7*Wyjaśnienia!$B$14</f>
        <v>9900</v>
      </c>
      <c r="F7" s="10" t="s">
        <v>136</v>
      </c>
      <c r="G7" s="3"/>
      <c r="H7" s="3"/>
    </row>
    <row r="8" customFormat="false" ht="15" hidden="false" customHeight="true" outlineLevel="0" collapsed="false">
      <c r="A8" s="14" t="s">
        <v>137</v>
      </c>
      <c r="B8" s="15" t="n">
        <v>40</v>
      </c>
      <c r="C8" s="15" t="n">
        <v>0</v>
      </c>
      <c r="D8" s="16" t="n">
        <f aca="false">B8+C8*Wyjaśnienia!$B$15/60</f>
        <v>40</v>
      </c>
      <c r="E8" s="17" t="n">
        <f aca="false">D8*Wyjaśnienia!$B$14</f>
        <v>8800</v>
      </c>
      <c r="F8" s="10" t="s">
        <v>138</v>
      </c>
      <c r="G8" s="3"/>
      <c r="H8" s="3"/>
    </row>
    <row r="9" customFormat="false" ht="15" hidden="false" customHeight="true" outlineLevel="0" collapsed="false">
      <c r="A9" s="14" t="s">
        <v>139</v>
      </c>
      <c r="B9" s="15" t="n">
        <v>30</v>
      </c>
      <c r="C9" s="15" t="n">
        <v>0</v>
      </c>
      <c r="D9" s="16" t="n">
        <f aca="false">B9+C9*Wyjaśnienia!$B$15/60</f>
        <v>30</v>
      </c>
      <c r="E9" s="17" t="n">
        <f aca="false">D9*Wyjaśnienia!$B$14</f>
        <v>6600</v>
      </c>
      <c r="F9" s="10" t="s">
        <v>140</v>
      </c>
      <c r="G9" s="3"/>
      <c r="H9" s="3"/>
    </row>
    <row r="10" customFormat="false" ht="15" hidden="false" customHeight="true" outlineLevel="0" collapsed="false">
      <c r="A10" s="14" t="s">
        <v>141</v>
      </c>
      <c r="B10" s="15" t="n">
        <v>50</v>
      </c>
      <c r="C10" s="15" t="n">
        <v>0</v>
      </c>
      <c r="D10" s="16" t="n">
        <f aca="false">B10+C10*Wyjaśnienia!$B$15/60</f>
        <v>50</v>
      </c>
      <c r="E10" s="17" t="n">
        <f aca="false">D10*Wyjaśnienia!$B$14</f>
        <v>11000</v>
      </c>
      <c r="F10" s="10" t="s">
        <v>142</v>
      </c>
      <c r="G10" s="3"/>
      <c r="H10" s="3"/>
    </row>
    <row r="11" customFormat="false" ht="15" hidden="false" customHeight="true" outlineLevel="0" collapsed="false">
      <c r="A11" s="14" t="s">
        <v>143</v>
      </c>
      <c r="B11" s="15" t="n">
        <v>25</v>
      </c>
      <c r="C11" s="15" t="n">
        <v>0</v>
      </c>
      <c r="D11" s="16" t="n">
        <f aca="false">B11+C11*Wyjaśnienia!$B$15/60</f>
        <v>25</v>
      </c>
      <c r="E11" s="17" t="n">
        <f aca="false">D11*Wyjaśnienia!$B$14</f>
        <v>5500</v>
      </c>
      <c r="F11" s="10" t="s">
        <v>144</v>
      </c>
      <c r="G11" s="3"/>
      <c r="H11" s="3"/>
    </row>
    <row r="12" customFormat="false" ht="15" hidden="false" customHeight="true" outlineLevel="0" collapsed="false">
      <c r="A12" s="14" t="s">
        <v>145</v>
      </c>
      <c r="B12" s="15" t="n">
        <v>160</v>
      </c>
      <c r="C12" s="15" t="n">
        <v>0</v>
      </c>
      <c r="D12" s="16" t="n">
        <f aca="false">B12+C12*Wyjaśnienia!$B$15/60</f>
        <v>160</v>
      </c>
      <c r="E12" s="17" t="n">
        <f aca="false">D12*Wyjaśnienia!$B$14</f>
        <v>35200</v>
      </c>
      <c r="F12" s="10" t="s">
        <v>146</v>
      </c>
      <c r="G12" s="3"/>
      <c r="H12" s="3"/>
    </row>
    <row r="13" customFormat="false" ht="15" hidden="false" customHeight="true" outlineLevel="0" collapsed="false">
      <c r="A13" s="14" t="s">
        <v>147</v>
      </c>
      <c r="B13" s="15" t="n">
        <v>50</v>
      </c>
      <c r="C13" s="15" t="n">
        <v>0</v>
      </c>
      <c r="D13" s="16" t="n">
        <f aca="false">B13+C13*Wyjaśnienia!$B$15/60</f>
        <v>50</v>
      </c>
      <c r="E13" s="17" t="n">
        <f aca="false">D13*Wyjaśnienia!$B$14</f>
        <v>11000</v>
      </c>
      <c r="F13" s="10" t="s">
        <v>148</v>
      </c>
      <c r="G13" s="3"/>
      <c r="H13" s="3"/>
    </row>
    <row r="14" customFormat="false" ht="15" hidden="false" customHeight="true" outlineLevel="0" collapsed="false">
      <c r="A14" s="6" t="s">
        <v>100</v>
      </c>
      <c r="B14" s="3"/>
      <c r="C14" s="3"/>
      <c r="D14" s="18" t="n">
        <f aca="false">SUM(D7:D13)</f>
        <v>400</v>
      </c>
      <c r="E14" s="8" t="n">
        <f aca="false">SUM(E7:E13)</f>
        <v>88000</v>
      </c>
      <c r="F14" s="3"/>
      <c r="G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5" t="s">
        <v>101</v>
      </c>
      <c r="B16" s="5"/>
      <c r="C16" s="5"/>
      <c r="D16" s="5"/>
      <c r="E16" s="5"/>
      <c r="F16" s="5"/>
      <c r="G16" s="3"/>
      <c r="H16" s="3"/>
    </row>
    <row r="17" customFormat="false" ht="15" hidden="false" customHeight="true" outlineLevel="0" collapsed="false">
      <c r="A17" s="6" t="s">
        <v>72</v>
      </c>
      <c r="B17" s="6" t="s">
        <v>102</v>
      </c>
      <c r="C17" s="6" t="s">
        <v>103</v>
      </c>
      <c r="D17" s="6" t="s">
        <v>76</v>
      </c>
      <c r="E17" s="6" t="s">
        <v>77</v>
      </c>
      <c r="F17" s="3"/>
      <c r="G17" s="3"/>
      <c r="H17" s="3"/>
    </row>
    <row r="18" customFormat="false" ht="15" hidden="false" customHeight="true" outlineLevel="0" collapsed="false">
      <c r="A18" s="14" t="s">
        <v>149</v>
      </c>
      <c r="B18" s="19" t="n">
        <v>3000</v>
      </c>
      <c r="C18" s="15" t="n">
        <v>1</v>
      </c>
      <c r="D18" s="17" t="n">
        <f aca="false">B18*C18</f>
        <v>3000</v>
      </c>
      <c r="E18" s="10" t="s">
        <v>150</v>
      </c>
      <c r="F18" s="3"/>
      <c r="G18" s="3"/>
      <c r="H18" s="3"/>
    </row>
    <row r="19" customFormat="false" ht="15" hidden="false" customHeight="true" outlineLevel="0" collapsed="false">
      <c r="A19" s="14" t="s">
        <v>151</v>
      </c>
      <c r="B19" s="19" t="n">
        <v>6000</v>
      </c>
      <c r="C19" s="15" t="n">
        <v>1</v>
      </c>
      <c r="D19" s="17" t="n">
        <f aca="false">B19*C19</f>
        <v>6000</v>
      </c>
      <c r="E19" s="10" t="s">
        <v>152</v>
      </c>
      <c r="F19" s="3"/>
      <c r="G19" s="3"/>
      <c r="H19" s="3"/>
    </row>
    <row r="20" customFormat="false" ht="15" hidden="false" customHeight="true" outlineLevel="0" collapsed="false">
      <c r="A20" s="14" t="s">
        <v>153</v>
      </c>
      <c r="B20" s="19" t="n">
        <v>10000</v>
      </c>
      <c r="C20" s="15" t="n">
        <v>1</v>
      </c>
      <c r="D20" s="17" t="n">
        <f aca="false">B20*C20</f>
        <v>10000</v>
      </c>
      <c r="E20" s="10" t="s">
        <v>154</v>
      </c>
      <c r="F20" s="3"/>
      <c r="G20" s="3"/>
      <c r="H20" s="3"/>
    </row>
    <row r="21" customFormat="false" ht="15" hidden="false" customHeight="true" outlineLevel="0" collapsed="false">
      <c r="A21" s="14" t="s">
        <v>155</v>
      </c>
      <c r="B21" s="19" t="n">
        <v>40000</v>
      </c>
      <c r="C21" s="15" t="n">
        <v>1</v>
      </c>
      <c r="D21" s="17" t="n">
        <f aca="false">B21*C21</f>
        <v>40000</v>
      </c>
      <c r="E21" s="10" t="s">
        <v>156</v>
      </c>
      <c r="F21" s="3"/>
      <c r="G21" s="3"/>
      <c r="H21" s="3"/>
    </row>
    <row r="22" customFormat="false" ht="15" hidden="false" customHeight="true" outlineLevel="0" collapsed="false">
      <c r="A22" s="14" t="s">
        <v>157</v>
      </c>
      <c r="B22" s="19" t="n">
        <v>4000</v>
      </c>
      <c r="C22" s="15" t="n">
        <v>1</v>
      </c>
      <c r="D22" s="17" t="n">
        <f aca="false">B22*C22</f>
        <v>4000</v>
      </c>
      <c r="E22" s="10" t="s">
        <v>158</v>
      </c>
      <c r="F22" s="3"/>
      <c r="G22" s="3"/>
      <c r="H22" s="3"/>
    </row>
    <row r="23" customFormat="false" ht="15" hidden="false" customHeight="true" outlineLevel="0" collapsed="false">
      <c r="A23" s="14" t="s">
        <v>159</v>
      </c>
      <c r="B23" s="19" t="n">
        <v>3000</v>
      </c>
      <c r="C23" s="15" t="n">
        <v>1</v>
      </c>
      <c r="D23" s="17" t="n">
        <f aca="false">B23*C23</f>
        <v>3000</v>
      </c>
      <c r="E23" s="10" t="s">
        <v>160</v>
      </c>
      <c r="F23" s="3"/>
      <c r="G23" s="3"/>
      <c r="H23" s="3"/>
    </row>
    <row r="24" customFormat="false" ht="15" hidden="false" customHeight="true" outlineLevel="0" collapsed="false">
      <c r="A24" s="14" t="s">
        <v>161</v>
      </c>
      <c r="B24" s="19" t="n">
        <v>4000</v>
      </c>
      <c r="C24" s="15" t="n">
        <v>1</v>
      </c>
      <c r="D24" s="17" t="n">
        <f aca="false">B24*C24</f>
        <v>4000</v>
      </c>
      <c r="E24" s="10" t="s">
        <v>162</v>
      </c>
      <c r="F24" s="3"/>
      <c r="G24" s="3"/>
      <c r="H24" s="3"/>
    </row>
    <row r="25" customFormat="false" ht="15" hidden="false" customHeight="true" outlineLevel="0" collapsed="false">
      <c r="A25" s="14" t="s">
        <v>163</v>
      </c>
      <c r="B25" s="19" t="n">
        <v>0</v>
      </c>
      <c r="C25" s="15" t="n">
        <v>1</v>
      </c>
      <c r="D25" s="17" t="n">
        <f aca="false">B25*C25</f>
        <v>0</v>
      </c>
      <c r="E25" s="10" t="s">
        <v>164</v>
      </c>
      <c r="F25" s="3"/>
      <c r="G25" s="3"/>
      <c r="H25" s="3"/>
    </row>
    <row r="26" customFormat="false" ht="15" hidden="false" customHeight="true" outlineLevel="0" collapsed="false">
      <c r="A26" s="14" t="s">
        <v>165</v>
      </c>
      <c r="B26" s="19" t="n">
        <v>15000</v>
      </c>
      <c r="C26" s="15" t="n">
        <v>1</v>
      </c>
      <c r="D26" s="17" t="n">
        <f aca="false">B26*C26</f>
        <v>15000</v>
      </c>
      <c r="E26" s="10" t="s">
        <v>166</v>
      </c>
      <c r="F26" s="3"/>
      <c r="G26" s="3"/>
      <c r="H26" s="3"/>
    </row>
    <row r="27" customFormat="false" ht="15" hidden="false" customHeight="true" outlineLevel="0" collapsed="false">
      <c r="A27" s="14" t="s">
        <v>167</v>
      </c>
      <c r="B27" s="19" t="n">
        <v>6000</v>
      </c>
      <c r="C27" s="15" t="n">
        <v>1</v>
      </c>
      <c r="D27" s="17" t="n">
        <f aca="false">B27*C27</f>
        <v>6000</v>
      </c>
      <c r="E27" s="10" t="s">
        <v>168</v>
      </c>
      <c r="F27" s="3"/>
      <c r="G27" s="3"/>
      <c r="H27" s="3"/>
    </row>
    <row r="28" customFormat="false" ht="15" hidden="false" customHeight="true" outlineLevel="0" collapsed="false">
      <c r="A28" s="14" t="s">
        <v>169</v>
      </c>
      <c r="B28" s="19" t="n">
        <v>30000</v>
      </c>
      <c r="C28" s="15" t="n">
        <v>1</v>
      </c>
      <c r="D28" s="17" t="n">
        <f aca="false">B28*C28</f>
        <v>30000</v>
      </c>
      <c r="E28" s="10" t="s">
        <v>170</v>
      </c>
      <c r="F28" s="3"/>
      <c r="G28" s="3"/>
      <c r="H28" s="3"/>
    </row>
    <row r="29" customFormat="false" ht="15" hidden="false" customHeight="true" outlineLevel="0" collapsed="false">
      <c r="A29" s="6" t="s">
        <v>125</v>
      </c>
      <c r="B29" s="3"/>
      <c r="C29" s="3"/>
      <c r="D29" s="8" t="n">
        <f aca="false">SUM(D18:D28)</f>
        <v>121000</v>
      </c>
      <c r="E29" s="3"/>
      <c r="F29" s="3"/>
      <c r="G29" s="3"/>
      <c r="H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</row>
    <row r="31" customFormat="false" ht="15" hidden="false" customHeight="true" outlineLevel="0" collapsed="false">
      <c r="A31" s="5" t="s">
        <v>126</v>
      </c>
      <c r="B31" s="5"/>
      <c r="C31" s="5"/>
      <c r="D31" s="5"/>
      <c r="E31" s="5"/>
      <c r="F31" s="5"/>
      <c r="G31" s="3"/>
      <c r="H31" s="3"/>
    </row>
    <row r="32" customFormat="false" ht="15" hidden="false" customHeight="true" outlineLevel="0" collapsed="false">
      <c r="A32" s="14" t="s">
        <v>128</v>
      </c>
      <c r="B32" s="3"/>
      <c r="C32" s="3"/>
      <c r="D32" s="7" t="n">
        <f aca="false">E14</f>
        <v>88000</v>
      </c>
      <c r="E32" s="3"/>
      <c r="F32" s="3"/>
      <c r="G32" s="3"/>
      <c r="H32" s="3"/>
    </row>
    <row r="33" customFormat="false" ht="15" hidden="false" customHeight="true" outlineLevel="0" collapsed="false">
      <c r="A33" s="14" t="s">
        <v>129</v>
      </c>
      <c r="B33" s="3"/>
      <c r="C33" s="3"/>
      <c r="D33" s="7" t="n">
        <f aca="false">D29</f>
        <v>121000</v>
      </c>
      <c r="E33" s="3"/>
      <c r="F33" s="3"/>
      <c r="G33" s="3"/>
      <c r="H33" s="3"/>
    </row>
    <row r="34" customFormat="false" ht="15" hidden="false" customHeight="true" outlineLevel="0" collapsed="false">
      <c r="A34" s="14" t="s">
        <v>171</v>
      </c>
      <c r="B34" s="3"/>
      <c r="C34" s="3"/>
      <c r="D34" s="7" t="n">
        <f aca="false">(D32+D33)*Wyjaśnienia!$B$27</f>
        <v>62700</v>
      </c>
      <c r="E34" s="3"/>
      <c r="F34" s="3"/>
      <c r="G34" s="3"/>
      <c r="H34" s="3"/>
    </row>
    <row r="35" customFormat="false" ht="15" hidden="false" customHeight="true" outlineLevel="0" collapsed="false">
      <c r="A35" s="6" t="s">
        <v>131</v>
      </c>
      <c r="B35" s="3"/>
      <c r="C35" s="3"/>
      <c r="D35" s="8" t="n">
        <f aca="false">SUM(D32:D34)</f>
        <v>271700</v>
      </c>
      <c r="E35" s="3"/>
      <c r="F35" s="3"/>
      <c r="G35" s="3"/>
      <c r="H35" s="3"/>
    </row>
    <row r="36" customFormat="false" ht="15" hidden="false" customHeight="true" outlineLevel="0" collapsed="false">
      <c r="A36" s="14" t="s">
        <v>132</v>
      </c>
      <c r="B36" s="3"/>
      <c r="C36" s="3"/>
      <c r="D36" s="7" t="n">
        <f aca="false">D35*Wyjaśnienia!$B$29</f>
        <v>62491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133</v>
      </c>
      <c r="B37" s="3"/>
      <c r="C37" s="3"/>
      <c r="D37" s="20" t="n">
        <f aca="false">D35+D36</f>
        <v>334191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6:F16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6" t="s">
        <v>73</v>
      </c>
      <c r="C6" s="6" t="s">
        <v>74</v>
      </c>
      <c r="D6" s="6" t="s">
        <v>75</v>
      </c>
      <c r="E6" s="6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4" t="s">
        <v>173</v>
      </c>
      <c r="B7" s="15" t="n">
        <v>0</v>
      </c>
      <c r="C7" s="15" t="n">
        <v>10</v>
      </c>
      <c r="D7" s="16" t="n">
        <f aca="false">B7+C7*Wyjaśnienia!$B$19/60</f>
        <v>25</v>
      </c>
      <c r="E7" s="17" t="n">
        <f aca="false">D7*Wyjaśnienia!$B$14</f>
        <v>5500</v>
      </c>
      <c r="F7" s="10" t="s">
        <v>174</v>
      </c>
      <c r="G7" s="3"/>
      <c r="H7" s="3"/>
    </row>
    <row r="8" customFormat="false" ht="15" hidden="false" customHeight="true" outlineLevel="0" collapsed="false">
      <c r="A8" s="14" t="s">
        <v>175</v>
      </c>
      <c r="B8" s="15" t="n">
        <v>40</v>
      </c>
      <c r="C8" s="15" t="n">
        <v>0</v>
      </c>
      <c r="D8" s="16" t="n">
        <f aca="false">B8+C8*Wyjaśnienia!$B$19/60</f>
        <v>40</v>
      </c>
      <c r="E8" s="17" t="n">
        <f aca="false">D8*Wyjaśnienia!$B$14</f>
        <v>8800</v>
      </c>
      <c r="F8" s="10" t="s">
        <v>176</v>
      </c>
      <c r="G8" s="3"/>
      <c r="H8" s="3"/>
    </row>
    <row r="9" customFormat="false" ht="15" hidden="false" customHeight="true" outlineLevel="0" collapsed="false">
      <c r="A9" s="14" t="s">
        <v>177</v>
      </c>
      <c r="B9" s="15" t="n">
        <v>30</v>
      </c>
      <c r="C9" s="15" t="n">
        <v>0</v>
      </c>
      <c r="D9" s="16" t="n">
        <f aca="false">B9+C9*Wyjaśnienia!$B$19/60</f>
        <v>30</v>
      </c>
      <c r="E9" s="17" t="n">
        <f aca="false">D9*Wyjaśnienia!$B$14</f>
        <v>6600</v>
      </c>
      <c r="F9" s="10" t="s">
        <v>178</v>
      </c>
      <c r="G9" s="3"/>
      <c r="H9" s="3"/>
    </row>
    <row r="10" customFormat="false" ht="15" hidden="false" customHeight="true" outlineLevel="0" collapsed="false">
      <c r="A10" s="14" t="s">
        <v>179</v>
      </c>
      <c r="B10" s="15" t="n">
        <v>20</v>
      </c>
      <c r="C10" s="15" t="n">
        <v>0</v>
      </c>
      <c r="D10" s="16" t="n">
        <f aca="false">B10+C10*Wyjaśnienia!$B$19/60</f>
        <v>20</v>
      </c>
      <c r="E10" s="17" t="n">
        <f aca="false">D10*Wyjaśnienia!$B$14</f>
        <v>4400</v>
      </c>
      <c r="F10" s="10" t="s">
        <v>180</v>
      </c>
      <c r="G10" s="3"/>
      <c r="H10" s="3"/>
    </row>
    <row r="11" customFormat="false" ht="15" hidden="false" customHeight="true" outlineLevel="0" collapsed="false">
      <c r="A11" s="14" t="s">
        <v>181</v>
      </c>
      <c r="B11" s="15" t="n">
        <v>50</v>
      </c>
      <c r="C11" s="15" t="n">
        <v>0</v>
      </c>
      <c r="D11" s="16" t="n">
        <f aca="false">B11+C11*Wyjaśnienia!$B$19/60</f>
        <v>50</v>
      </c>
      <c r="E11" s="17" t="n">
        <f aca="false">D11*Wyjaśnienia!$B$14</f>
        <v>11000</v>
      </c>
      <c r="F11" s="10" t="s">
        <v>182</v>
      </c>
      <c r="G11" s="3"/>
      <c r="H11" s="3"/>
    </row>
    <row r="12" customFormat="false" ht="15" hidden="false" customHeight="true" outlineLevel="0" collapsed="false">
      <c r="A12" s="6" t="s">
        <v>100</v>
      </c>
      <c r="B12" s="3"/>
      <c r="C12" s="3"/>
      <c r="D12" s="18" t="n">
        <f aca="false">SUM(D7:D11)</f>
        <v>165</v>
      </c>
      <c r="E12" s="8" t="n">
        <f aca="false">SUM(E7:E11)</f>
        <v>36300</v>
      </c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101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72</v>
      </c>
      <c r="B15" s="6" t="s">
        <v>102</v>
      </c>
      <c r="C15" s="6" t="s">
        <v>103</v>
      </c>
      <c r="D15" s="6" t="s">
        <v>76</v>
      </c>
      <c r="E15" s="6" t="s">
        <v>77</v>
      </c>
      <c r="F15" s="3"/>
      <c r="G15" s="3"/>
      <c r="H15" s="3"/>
    </row>
    <row r="16" customFormat="false" ht="15" hidden="false" customHeight="true" outlineLevel="0" collapsed="false">
      <c r="A16" s="14" t="s">
        <v>183</v>
      </c>
      <c r="B16" s="17" t="n">
        <f aca="false">Wyjaśnienia!$B$20</f>
        <v>35000</v>
      </c>
      <c r="C16" s="15" t="n">
        <v>1</v>
      </c>
      <c r="D16" s="17" t="n">
        <f aca="false">B16*C16</f>
        <v>35000</v>
      </c>
      <c r="E16" s="10" t="s">
        <v>184</v>
      </c>
      <c r="F16" s="3"/>
      <c r="G16" s="3"/>
      <c r="H16" s="3"/>
    </row>
    <row r="17" customFormat="false" ht="15" hidden="false" customHeight="true" outlineLevel="0" collapsed="false">
      <c r="A17" s="14" t="s">
        <v>185</v>
      </c>
      <c r="B17" s="17" t="n">
        <f aca="false">Wyjaśnienia!$B$21</f>
        <v>4000</v>
      </c>
      <c r="C17" s="15" t="n">
        <v>1</v>
      </c>
      <c r="D17" s="17" t="n">
        <f aca="false">B17*C17</f>
        <v>4000</v>
      </c>
      <c r="E17" s="10" t="s">
        <v>186</v>
      </c>
      <c r="F17" s="3"/>
      <c r="G17" s="3"/>
      <c r="H17" s="3"/>
    </row>
    <row r="18" customFormat="false" ht="15" hidden="false" customHeight="true" outlineLevel="0" collapsed="false">
      <c r="A18" s="14" t="s">
        <v>187</v>
      </c>
      <c r="B18" s="17" t="n">
        <f aca="false">Wyjaśnienia!$B$22</f>
        <v>7500</v>
      </c>
      <c r="C18" s="16" t="n">
        <f aca="false">Wyjaśnienia!$B$23</f>
        <v>10</v>
      </c>
      <c r="D18" s="17" t="n">
        <f aca="false">B18*C18</f>
        <v>75000</v>
      </c>
      <c r="E18" s="10" t="s">
        <v>188</v>
      </c>
      <c r="F18" s="3"/>
      <c r="G18" s="3"/>
      <c r="H18" s="3"/>
    </row>
    <row r="19" customFormat="false" ht="15" hidden="false" customHeight="true" outlineLevel="0" collapsed="false">
      <c r="A19" s="14" t="s">
        <v>37</v>
      </c>
      <c r="B19" s="17" t="n">
        <f aca="false">Wyjaśnienia!$B$24</f>
        <v>80000</v>
      </c>
      <c r="C19" s="15" t="n">
        <v>1</v>
      </c>
      <c r="D19" s="17" t="n">
        <f aca="false">B19*C19</f>
        <v>80000</v>
      </c>
      <c r="E19" s="10" t="s">
        <v>189</v>
      </c>
      <c r="F19" s="3"/>
      <c r="G19" s="3"/>
      <c r="H19" s="3"/>
    </row>
    <row r="20" customFormat="false" ht="15" hidden="false" customHeight="true" outlineLevel="0" collapsed="false">
      <c r="A20" s="14" t="s">
        <v>39</v>
      </c>
      <c r="B20" s="17" t="n">
        <f aca="false">Wyjaśnienia!$B$25</f>
        <v>3000</v>
      </c>
      <c r="C20" s="15" t="n">
        <v>1</v>
      </c>
      <c r="D20" s="17" t="n">
        <f aca="false">B20*C20</f>
        <v>3000</v>
      </c>
      <c r="E20" s="10" t="s">
        <v>190</v>
      </c>
      <c r="F20" s="3"/>
      <c r="G20" s="3"/>
      <c r="H20" s="3"/>
    </row>
    <row r="21" customFormat="false" ht="15" hidden="false" customHeight="true" outlineLevel="0" collapsed="false">
      <c r="A21" s="14" t="s">
        <v>191</v>
      </c>
      <c r="B21" s="19" t="n">
        <v>0</v>
      </c>
      <c r="C21" s="15" t="n">
        <v>1</v>
      </c>
      <c r="D21" s="17" t="n">
        <f aca="false">B21*C21</f>
        <v>0</v>
      </c>
      <c r="E21" s="10" t="s">
        <v>192</v>
      </c>
      <c r="F21" s="3"/>
      <c r="G21" s="3"/>
      <c r="H21" s="3"/>
    </row>
    <row r="22" customFormat="false" ht="15" hidden="false" customHeight="true" outlineLevel="0" collapsed="false">
      <c r="A22" s="14" t="s">
        <v>193</v>
      </c>
      <c r="B22" s="19" t="n">
        <v>0</v>
      </c>
      <c r="C22" s="15" t="n">
        <v>1</v>
      </c>
      <c r="D22" s="17" t="n">
        <f aca="false">B22*C22</f>
        <v>0</v>
      </c>
      <c r="E22" s="10" t="s">
        <v>194</v>
      </c>
      <c r="F22" s="3"/>
      <c r="G22" s="3"/>
      <c r="H22" s="3"/>
    </row>
    <row r="23" customFormat="false" ht="15" hidden="false" customHeight="true" outlineLevel="0" collapsed="false">
      <c r="A23" s="6" t="s">
        <v>125</v>
      </c>
      <c r="B23" s="3"/>
      <c r="C23" s="3"/>
      <c r="D23" s="8" t="n">
        <f aca="false">SUM(D16:D22)</f>
        <v>197000</v>
      </c>
      <c r="E23" s="3"/>
      <c r="F23" s="3"/>
      <c r="G23" s="3"/>
      <c r="H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</row>
    <row r="25" customFormat="false" ht="15" hidden="false" customHeight="true" outlineLevel="0" collapsed="false">
      <c r="A25" s="5" t="s">
        <v>126</v>
      </c>
      <c r="B25" s="5"/>
      <c r="C25" s="5"/>
      <c r="D25" s="5"/>
      <c r="E25" s="5"/>
      <c r="F25" s="5"/>
      <c r="G25" s="3"/>
      <c r="H25" s="3"/>
    </row>
    <row r="26" customFormat="false" ht="15" hidden="false" customHeight="true" outlineLevel="0" collapsed="false">
      <c r="A26" s="14" t="s">
        <v>127</v>
      </c>
      <c r="B26" s="3"/>
      <c r="C26" s="3"/>
      <c r="D26" s="17" t="n">
        <f aca="false">Wyjaśnienia!$B$20+Wyjaśnienia!$B$21</f>
        <v>39000</v>
      </c>
      <c r="E26" s="3"/>
      <c r="F26" s="3"/>
      <c r="G26" s="3"/>
      <c r="H26" s="3"/>
    </row>
    <row r="27" customFormat="false" ht="15" hidden="false" customHeight="true" outlineLevel="0" collapsed="false">
      <c r="A27" s="14" t="s">
        <v>128</v>
      </c>
      <c r="B27" s="3"/>
      <c r="C27" s="3"/>
      <c r="D27" s="7" t="n">
        <f aca="false">E12</f>
        <v>36300</v>
      </c>
      <c r="E27" s="3"/>
      <c r="F27" s="3"/>
      <c r="G27" s="3"/>
      <c r="H27" s="3"/>
    </row>
    <row r="28" customFormat="false" ht="15" hidden="false" customHeight="true" outlineLevel="0" collapsed="false">
      <c r="A28" s="14" t="s">
        <v>195</v>
      </c>
      <c r="B28" s="3"/>
      <c r="C28" s="3"/>
      <c r="D28" s="7" t="n">
        <f aca="false">D23-D26</f>
        <v>158000</v>
      </c>
      <c r="E28" s="3"/>
      <c r="F28" s="3"/>
      <c r="G28" s="3"/>
      <c r="H28" s="3"/>
    </row>
    <row r="29" customFormat="false" ht="15" hidden="false" customHeight="true" outlineLevel="0" collapsed="false">
      <c r="A29" s="14" t="s">
        <v>130</v>
      </c>
      <c r="B29" s="3"/>
      <c r="C29" s="3"/>
      <c r="D29" s="7" t="n">
        <f aca="false">(D27+D28)*Wyjaśnienia!$B$28</f>
        <v>23316</v>
      </c>
      <c r="E29" s="3"/>
      <c r="F29" s="3"/>
      <c r="G29" s="3"/>
      <c r="H29" s="3"/>
    </row>
    <row r="30" customFormat="false" ht="15" hidden="false" customHeight="true" outlineLevel="0" collapsed="false">
      <c r="A30" s="6" t="s">
        <v>131</v>
      </c>
      <c r="B30" s="3"/>
      <c r="C30" s="3"/>
      <c r="D30" s="8" t="n">
        <f aca="false">SUM(D26:D29)</f>
        <v>256616</v>
      </c>
      <c r="E30" s="3"/>
      <c r="F30" s="3"/>
      <c r="G30" s="3"/>
      <c r="H30" s="3"/>
    </row>
    <row r="31" customFormat="false" ht="15" hidden="false" customHeight="true" outlineLevel="0" collapsed="false">
      <c r="A31" s="14" t="s">
        <v>132</v>
      </c>
      <c r="B31" s="3"/>
      <c r="C31" s="3"/>
      <c r="D31" s="7" t="n">
        <f aca="false">D30*Wyjaśnienia!$B$29</f>
        <v>59021.68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133</v>
      </c>
      <c r="B32" s="3"/>
      <c r="C32" s="3"/>
      <c r="D32" s="20" t="n">
        <f aca="false">D30+D31</f>
        <v>315637.68</v>
      </c>
      <c r="E32" s="3"/>
      <c r="F32" s="3"/>
      <c r="G32" s="3"/>
      <c r="H32" s="3"/>
    </row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4:F1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21" t="s">
        <v>12</v>
      </c>
      <c r="B1" s="21"/>
      <c r="C1" s="21"/>
      <c r="D1" s="21"/>
      <c r="E1" s="21"/>
      <c r="F1" s="21"/>
    </row>
    <row r="2" customFormat="false" ht="15" hidden="false" customHeight="true" outlineLevel="0" collapsed="false">
      <c r="A2" s="22" t="s">
        <v>196</v>
      </c>
      <c r="B2" s="22"/>
      <c r="C2" s="22"/>
      <c r="D2" s="22"/>
      <c r="E2" s="22"/>
      <c r="F2" s="22"/>
    </row>
    <row r="3" customFormat="false" ht="15" hidden="false" customHeight="true" outlineLevel="0" collapsed="false">
      <c r="A3" s="22" t="s">
        <v>197</v>
      </c>
      <c r="B3" s="22"/>
      <c r="C3" s="22"/>
      <c r="D3" s="22"/>
      <c r="E3" s="22"/>
      <c r="F3" s="22"/>
    </row>
    <row r="5" customFormat="false" ht="15" hidden="false" customHeight="true" outlineLevel="0" collapsed="false">
      <c r="A5" s="12" t="s">
        <v>198</v>
      </c>
      <c r="B5" s="12"/>
      <c r="C5" s="12"/>
      <c r="D5" s="12"/>
      <c r="E5" s="12"/>
      <c r="F5" s="12"/>
    </row>
    <row r="6" customFormat="false" ht="15" hidden="false" customHeight="true" outlineLevel="0" collapsed="false">
      <c r="A6" s="23" t="s">
        <v>72</v>
      </c>
      <c r="B6" s="23" t="s">
        <v>199</v>
      </c>
      <c r="C6" s="24"/>
      <c r="D6" s="24"/>
      <c r="E6" s="24"/>
      <c r="F6" s="23" t="s">
        <v>77</v>
      </c>
    </row>
    <row r="7" customFormat="false" ht="15" hidden="false" customHeight="true" outlineLevel="0" collapsed="false">
      <c r="A7" s="24" t="s">
        <v>200</v>
      </c>
      <c r="B7" s="25" t="n">
        <f aca="false">Wyjaśnienia!$B$15</f>
        <v>150</v>
      </c>
      <c r="C7" s="24"/>
      <c r="D7" s="24"/>
      <c r="E7" s="24"/>
      <c r="F7" s="24" t="s">
        <v>201</v>
      </c>
    </row>
    <row r="8" customFormat="false" ht="15" hidden="false" customHeight="true" outlineLevel="0" collapsed="false">
      <c r="A8" s="24" t="s">
        <v>202</v>
      </c>
      <c r="B8" s="25" t="n">
        <f aca="false">Wyjaśnienia!$B$42</f>
        <v>2</v>
      </c>
      <c r="C8" s="24"/>
      <c r="D8" s="24"/>
      <c r="E8" s="24"/>
      <c r="F8" s="24" t="s">
        <v>203</v>
      </c>
    </row>
    <row r="9" customFormat="false" ht="15" hidden="false" customHeight="true" outlineLevel="0" collapsed="false">
      <c r="A9" s="23" t="s">
        <v>204</v>
      </c>
      <c r="B9" s="26" t="n">
        <f aca="false">B7*B8</f>
        <v>300</v>
      </c>
      <c r="C9" s="24"/>
      <c r="D9" s="24"/>
      <c r="E9" s="24"/>
      <c r="F9" s="24" t="s">
        <v>205</v>
      </c>
    </row>
    <row r="10" customFormat="false" ht="15" hidden="false" customHeight="false" outlineLevel="0" collapsed="false">
      <c r="A10" s="24"/>
      <c r="B10" s="24"/>
      <c r="C10" s="24"/>
      <c r="D10" s="24"/>
      <c r="E10" s="24"/>
      <c r="F10" s="24"/>
    </row>
    <row r="11" customFormat="false" ht="15" hidden="false" customHeight="true" outlineLevel="0" collapsed="false">
      <c r="A11" s="12" t="s">
        <v>206</v>
      </c>
      <c r="B11" s="12"/>
      <c r="C11" s="12"/>
      <c r="D11" s="12"/>
      <c r="E11" s="12"/>
      <c r="F11" s="12"/>
    </row>
    <row r="12" customFormat="false" ht="15" hidden="false" customHeight="true" outlineLevel="0" collapsed="false">
      <c r="A12" s="23" t="s">
        <v>72</v>
      </c>
      <c r="B12" s="23" t="s">
        <v>207</v>
      </c>
      <c r="C12" s="23" t="s">
        <v>103</v>
      </c>
      <c r="D12" s="23" t="s">
        <v>76</v>
      </c>
      <c r="E12" s="24"/>
      <c r="F12" s="23" t="s">
        <v>77</v>
      </c>
    </row>
    <row r="13" customFormat="false" ht="15" hidden="false" customHeight="true" outlineLevel="0" collapsed="false">
      <c r="A13" s="24" t="s">
        <v>208</v>
      </c>
      <c r="B13" s="27" t="n">
        <f aca="false">Wyjaśnienia!$B$44</f>
        <v>2500</v>
      </c>
      <c r="C13" s="25" t="n">
        <f aca="false">Wyjaśnienia!$B$45</f>
        <v>15</v>
      </c>
      <c r="D13" s="27" t="n">
        <f aca="false">B13*C13</f>
        <v>37500</v>
      </c>
      <c r="E13" s="24"/>
      <c r="F13" s="24" t="s">
        <v>209</v>
      </c>
    </row>
    <row r="14" customFormat="false" ht="15" hidden="false" customHeight="true" outlineLevel="0" collapsed="false">
      <c r="A14" s="24" t="s">
        <v>210</v>
      </c>
      <c r="B14" s="27" t="n">
        <f aca="false">Wyjaśnienia!$B$43</f>
        <v>500</v>
      </c>
      <c r="C14" s="25" t="n">
        <f aca="false">ROUNDUP(B9/100,0)</f>
        <v>3</v>
      </c>
      <c r="D14" s="27" t="n">
        <f aca="false">B14*C14</f>
        <v>1500</v>
      </c>
      <c r="E14" s="24"/>
      <c r="F14" s="24" t="s">
        <v>211</v>
      </c>
    </row>
    <row r="15" customFormat="false" ht="15" hidden="false" customHeight="true" outlineLevel="0" collapsed="false">
      <c r="A15" s="23" t="s">
        <v>212</v>
      </c>
      <c r="B15" s="24"/>
      <c r="C15" s="24"/>
      <c r="D15" s="28" t="n">
        <f aca="false">SUM(D13:D14)</f>
        <v>39000</v>
      </c>
      <c r="E15" s="24"/>
      <c r="F15" s="24"/>
    </row>
    <row r="16" customFormat="false" ht="15" hidden="false" customHeight="false" outlineLevel="0" collapsed="false">
      <c r="A16" s="24"/>
      <c r="B16" s="24"/>
      <c r="C16" s="24"/>
      <c r="D16" s="24"/>
      <c r="E16" s="24"/>
      <c r="F16" s="24"/>
    </row>
    <row r="17" customFormat="false" ht="15" hidden="false" customHeight="true" outlineLevel="0" collapsed="false">
      <c r="A17" s="12" t="s">
        <v>101</v>
      </c>
      <c r="B17" s="12"/>
      <c r="C17" s="12"/>
      <c r="D17" s="12"/>
      <c r="E17" s="12"/>
      <c r="F17" s="12"/>
    </row>
    <row r="18" customFormat="false" ht="15" hidden="false" customHeight="true" outlineLevel="0" collapsed="false">
      <c r="A18" s="23" t="s">
        <v>72</v>
      </c>
      <c r="B18" s="23" t="s">
        <v>102</v>
      </c>
      <c r="C18" s="23" t="s">
        <v>103</v>
      </c>
      <c r="D18" s="23" t="s">
        <v>76</v>
      </c>
      <c r="E18" s="24"/>
      <c r="F18" s="23" t="s">
        <v>77</v>
      </c>
    </row>
    <row r="19" customFormat="false" ht="15" hidden="false" customHeight="true" outlineLevel="0" collapsed="false">
      <c r="A19" s="24" t="s">
        <v>213</v>
      </c>
      <c r="B19" s="29" t="n">
        <v>2000</v>
      </c>
      <c r="C19" s="24" t="n">
        <v>1</v>
      </c>
      <c r="D19" s="27" t="n">
        <f aca="false">B19*C19</f>
        <v>2000</v>
      </c>
      <c r="E19" s="24"/>
      <c r="F19" s="24" t="s">
        <v>214</v>
      </c>
    </row>
    <row r="20" customFormat="false" ht="15" hidden="false" customHeight="true" outlineLevel="0" collapsed="false">
      <c r="A20" s="24" t="s">
        <v>215</v>
      </c>
      <c r="B20" s="29" t="n">
        <v>3000</v>
      </c>
      <c r="C20" s="24" t="n">
        <v>1</v>
      </c>
      <c r="D20" s="27" t="n">
        <f aca="false">B20*C20</f>
        <v>3000</v>
      </c>
      <c r="E20" s="24"/>
      <c r="F20" s="24" t="s">
        <v>216</v>
      </c>
    </row>
    <row r="21" customFormat="false" ht="15" hidden="false" customHeight="true" outlineLevel="0" collapsed="false">
      <c r="A21" s="23" t="s">
        <v>125</v>
      </c>
      <c r="B21" s="24"/>
      <c r="C21" s="24"/>
      <c r="D21" s="28" t="n">
        <f aca="false">SUM(D19:D20)</f>
        <v>5000</v>
      </c>
      <c r="E21" s="24"/>
      <c r="F21" s="24"/>
    </row>
    <row r="22" customFormat="false" ht="15" hidden="false" customHeight="false" outlineLevel="0" collapsed="false">
      <c r="A22" s="24"/>
      <c r="B22" s="24"/>
      <c r="C22" s="24"/>
      <c r="D22" s="24"/>
      <c r="E22" s="24"/>
      <c r="F22" s="24"/>
    </row>
    <row r="23" customFormat="false" ht="15" hidden="false" customHeight="true" outlineLevel="0" collapsed="false">
      <c r="A23" s="12" t="s">
        <v>126</v>
      </c>
      <c r="B23" s="12"/>
      <c r="C23" s="12"/>
      <c r="D23" s="12"/>
      <c r="E23" s="12"/>
      <c r="F23" s="12"/>
    </row>
    <row r="24" customFormat="false" ht="15" hidden="false" customHeight="true" outlineLevel="0" collapsed="false">
      <c r="A24" s="24" t="s">
        <v>217</v>
      </c>
      <c r="B24" s="24"/>
      <c r="C24" s="24"/>
      <c r="D24" s="27" t="n">
        <f aca="false">D15</f>
        <v>39000</v>
      </c>
      <c r="E24" s="24"/>
      <c r="F24" s="24"/>
    </row>
    <row r="25" customFormat="false" ht="15" hidden="false" customHeight="true" outlineLevel="0" collapsed="false">
      <c r="A25" s="24" t="s">
        <v>129</v>
      </c>
      <c r="B25" s="24"/>
      <c r="C25" s="24"/>
      <c r="D25" s="27" t="n">
        <f aca="false">D21</f>
        <v>5000</v>
      </c>
      <c r="E25" s="24"/>
      <c r="F25" s="24"/>
    </row>
    <row r="26" customFormat="false" ht="15" hidden="false" customHeight="true" outlineLevel="0" collapsed="false">
      <c r="A26" s="24" t="s">
        <v>218</v>
      </c>
      <c r="B26" s="24"/>
      <c r="C26" s="24"/>
      <c r="D26" s="27" t="n">
        <f aca="false">(D24+D25)*Wyjaśnienia!$B$26</f>
        <v>5280</v>
      </c>
      <c r="E26" s="24"/>
      <c r="F26" s="24"/>
    </row>
    <row r="27" customFormat="false" ht="15" hidden="false" customHeight="true" outlineLevel="0" collapsed="false">
      <c r="A27" s="23" t="s">
        <v>131</v>
      </c>
      <c r="B27" s="24"/>
      <c r="C27" s="24"/>
      <c r="D27" s="28" t="n">
        <f aca="false">SUM(D24:D26)</f>
        <v>49280</v>
      </c>
      <c r="E27" s="24"/>
      <c r="F27" s="24"/>
    </row>
    <row r="28" customFormat="false" ht="15" hidden="false" customHeight="true" outlineLevel="0" collapsed="false">
      <c r="A28" s="24" t="s">
        <v>132</v>
      </c>
      <c r="B28" s="24"/>
      <c r="C28" s="24"/>
      <c r="D28" s="27" t="n">
        <f aca="false">D27*Wyjaśnienia!$B$29</f>
        <v>11334.4</v>
      </c>
      <c r="E28" s="24"/>
      <c r="F28" s="24"/>
    </row>
    <row r="29" customFormat="false" ht="15" hidden="false" customHeight="true" outlineLevel="0" collapsed="false">
      <c r="A29" s="23" t="s">
        <v>133</v>
      </c>
      <c r="B29" s="24"/>
      <c r="C29" s="24"/>
      <c r="D29" s="28" t="n">
        <f aca="false">D27+D28</f>
        <v>60614.4</v>
      </c>
      <c r="E29" s="24"/>
      <c r="F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</row>
    <row r="31" customFormat="false" ht="15" hidden="false" customHeight="true" outlineLevel="0" collapsed="false">
      <c r="A31" s="12" t="s">
        <v>219</v>
      </c>
      <c r="B31" s="12"/>
      <c r="C31" s="12"/>
      <c r="D31" s="12"/>
      <c r="E31" s="12"/>
      <c r="F31" s="12"/>
    </row>
    <row r="32" customFormat="false" ht="15" hidden="false" customHeight="true" outlineLevel="0" collapsed="false">
      <c r="A32" s="22" t="s">
        <v>220</v>
      </c>
      <c r="B32" s="22"/>
      <c r="C32" s="22"/>
      <c r="D32" s="22"/>
      <c r="E32" s="22"/>
      <c r="F32" s="22"/>
    </row>
    <row r="33" customFormat="false" ht="15" hidden="false" customHeight="true" outlineLevel="0" collapsed="false">
      <c r="A33" s="23" t="s">
        <v>221</v>
      </c>
      <c r="B33" s="23" t="s">
        <v>222</v>
      </c>
      <c r="C33" s="23" t="s">
        <v>223</v>
      </c>
      <c r="D33" s="23" t="s">
        <v>224</v>
      </c>
      <c r="E33" s="23" t="s">
        <v>225</v>
      </c>
      <c r="F33" s="24"/>
    </row>
    <row r="34" customFormat="false" ht="15" hidden="false" customHeight="true" outlineLevel="0" collapsed="false">
      <c r="A34" s="25" t="n">
        <v>150</v>
      </c>
      <c r="B34" s="25" t="n">
        <f aca="false">A34*Wyjaśnienia!$B$42</f>
        <v>300</v>
      </c>
      <c r="C34" s="25" t="n">
        <f aca="false">ROUNDUP(B34/100,0)</f>
        <v>3</v>
      </c>
      <c r="D34" s="27" t="n">
        <f aca="false">C34*Wyjaśnienia!$B$43</f>
        <v>1500</v>
      </c>
      <c r="E34" s="25" t="n">
        <f aca="false">ROUNDUP(A34/Wyjaśnienia!$B$46,0)</f>
        <v>8</v>
      </c>
      <c r="F34" s="24"/>
    </row>
    <row r="35" customFormat="false" ht="15" hidden="false" customHeight="true" outlineLevel="0" collapsed="false">
      <c r="A35" s="25" t="n">
        <v>1000</v>
      </c>
      <c r="B35" s="25" t="n">
        <f aca="false">A35*Wyjaśnienia!$B$42</f>
        <v>2000</v>
      </c>
      <c r="C35" s="25" t="n">
        <f aca="false">ROUNDUP(B35/100,0)</f>
        <v>20</v>
      </c>
      <c r="D35" s="27" t="n">
        <f aca="false">C35*Wyjaśnienia!$B$43</f>
        <v>10000</v>
      </c>
      <c r="E35" s="25" t="n">
        <f aca="false">ROUNDUP(A35/Wyjaśnienia!$B$46,0)</f>
        <v>50</v>
      </c>
      <c r="F35" s="24"/>
    </row>
    <row r="36" customFormat="false" ht="15" hidden="false" customHeight="true" outlineLevel="0" collapsed="false">
      <c r="A36" s="25" t="n">
        <v>10000</v>
      </c>
      <c r="B36" s="25" t="n">
        <f aca="false">A36*Wyjaśnienia!$B$42</f>
        <v>20000</v>
      </c>
      <c r="C36" s="25" t="n">
        <f aca="false">ROUNDUP(B36/100,0)</f>
        <v>200</v>
      </c>
      <c r="D36" s="27" t="n">
        <f aca="false">C36*Wyjaśnienia!$B$43</f>
        <v>100000</v>
      </c>
      <c r="E36" s="25" t="n">
        <f aca="false">ROUNDUP(A36/Wyjaśnienia!$B$46,0)</f>
        <v>500</v>
      </c>
      <c r="F36" s="24"/>
    </row>
    <row r="37" customFormat="false" ht="15" hidden="false" customHeight="true" outlineLevel="0" collapsed="false">
      <c r="A37" s="25" t="n">
        <v>100000</v>
      </c>
      <c r="B37" s="25" t="n">
        <f aca="false">A37*Wyjaśnienia!$B$42</f>
        <v>200000</v>
      </c>
      <c r="C37" s="25" t="n">
        <f aca="false">ROUNDUP(B37/100,0)</f>
        <v>2000</v>
      </c>
      <c r="D37" s="27" t="n">
        <f aca="false">C37*Wyjaśnienia!$B$43</f>
        <v>1000000</v>
      </c>
      <c r="E37" s="25" t="n">
        <f aca="false">ROUNDUP(A37/Wyjaśnienia!$B$46,0)</f>
        <v>5000</v>
      </c>
      <c r="F37" s="24"/>
    </row>
    <row r="38" customFormat="false" ht="15" hidden="false" customHeight="true" outlineLevel="0" collapsed="false">
      <c r="A38" s="25" t="n">
        <v>1000000</v>
      </c>
      <c r="B38" s="25" t="n">
        <f aca="false">A38*Wyjaśnienia!$B$42</f>
        <v>2000000</v>
      </c>
      <c r="C38" s="25" t="n">
        <f aca="false">ROUNDUP(B38/100,0)</f>
        <v>20000</v>
      </c>
      <c r="D38" s="27" t="n">
        <f aca="false">C38*Wyjaśnienia!$B$43</f>
        <v>10000000</v>
      </c>
      <c r="E38" s="25" t="n">
        <f aca="false">ROUNDUP(A38/Wyjaśnienia!$B$46,0)</f>
        <v>50000</v>
      </c>
      <c r="F38" s="24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2026-10-25T13:26:35Z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