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Założenia" sheetId="1" state="visible" r:id="rId3"/>
    <sheet name="Praca" sheetId="2" state="visible" r:id="rId4"/>
    <sheet name="Koszty" sheetId="3" state="visible" r:id="rId5"/>
    <sheet name="Rozkład w czasi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<sst xmlns="http://schemas.openxmlformats.org/spreadsheetml/2006/main" count="159" uniqueCount="156">
  <si>
    <t xml:space="preserve">Nagroda Konstela - budżet edycji pierwszej</t>
  </si>
  <si>
    <t xml:space="preserve">Edytuj wyłącznie komórki na żółto. Reszta przelicza się sama.</t>
  </si>
  <si>
    <t xml:space="preserve">DŹWIGNIE</t>
  </si>
  <si>
    <t xml:space="preserve">Liczba zgłoszeń po ocenie formalnej</t>
  </si>
  <si>
    <t xml:space="preserve">Główna dźwignia. Zmień ją, a przeliczy się nakład pracy i tryb oceny.</t>
  </si>
  <si>
    <t xml:space="preserve">Stawka godzinowa organizatora (netto, zł)</t>
  </si>
  <si>
    <t xml:space="preserve">Twoja stawka rynkowa. Służy wycenie pracy, nie jest kwotą do wypłaty.</t>
  </si>
  <si>
    <t xml:space="preserve">Nagroda główna (zł)</t>
  </si>
  <si>
    <t xml:space="preserve">Nike 1997 = 100 tys. zł; wg indeksu cen to ok. 315 tys. zł w 2026.</t>
  </si>
  <si>
    <t xml:space="preserve">Nagroda dla pozostałych finalistów (zł)</t>
  </si>
  <si>
    <t xml:space="preserve">Dziewięć osób z dziesiątki antologii.</t>
  </si>
  <si>
    <t xml:space="preserve">Liczba pozostałych finalistów</t>
  </si>
  <si>
    <t xml:space="preserve">Dziesiątka antologii minus laureat.</t>
  </si>
  <si>
    <t xml:space="preserve">Podatek od nagród (ryczałt)</t>
  </si>
  <si>
    <t xml:space="preserve">Art. 30 ust. 1 pkt 2 ustawy o PIT. Płatnikiem jest fundator albo organizator.</t>
  </si>
  <si>
    <t xml:space="preserve">Podatek liniowy organizatora</t>
  </si>
  <si>
    <t xml:space="preserve">Do weryfikacji z księgowym - forma opodatkowania może być inna.</t>
  </si>
  <si>
    <t xml:space="preserve">Składka zdrowotna (liniowy)</t>
  </si>
  <si>
    <t xml:space="preserve">Do weryfikacji z księgowym.</t>
  </si>
  <si>
    <t xml:space="preserve">WYNIKI (przeliczane)</t>
  </si>
  <si>
    <t xml:space="preserve">Pula nagród brutto</t>
  </si>
  <si>
    <t xml:space="preserve">Kwoty przyrzeczone laureatom.</t>
  </si>
  <si>
    <t xml:space="preserve">Podatek od nagród (10%)</t>
  </si>
  <si>
    <t xml:space="preserve">Potrącany przy wypłacie; płatnik odprowadza.</t>
  </si>
  <si>
    <t xml:space="preserve">Koszty twarde razem</t>
  </si>
  <si>
    <t xml:space="preserve">Z arkusza Koszty.</t>
  </si>
  <si>
    <t xml:space="preserve">Praca organizatora - godziny</t>
  </si>
  <si>
    <t xml:space="preserve">Z arkusza Praca.</t>
  </si>
  <si>
    <t xml:space="preserve">Praca organizatora - wycena</t>
  </si>
  <si>
    <t xml:space="preserve">Godziny razy stawka.</t>
  </si>
  <si>
    <t xml:space="preserve">Koszty organizacyjne razem</t>
  </si>
  <si>
    <t xml:space="preserve">To jest kwota, o którą prosisz sponsora poza pulą.</t>
  </si>
  <si>
    <t xml:space="preserve">Udział kosztów w całości wniosku</t>
  </si>
  <si>
    <t xml:space="preserve">Powyżej 1/3 sponsor pyta, czy finansuje nagrodę, czy etat.</t>
  </si>
  <si>
    <t xml:space="preserve">WNIOSEK DO SPONSORA (netto)</t>
  </si>
  <si>
    <t xml:space="preserve">Kwota netto. Przy banku VAT jest ich realnym kosztem.</t>
  </si>
  <si>
    <t xml:space="preserve">Wniosek brutto z VAT 23%</t>
  </si>
  <si>
    <t xml:space="preserve">Banki odliczają VAT w ograniczonym zakresie.</t>
  </si>
  <si>
    <t xml:space="preserve">CO ZOSTAJE ORGANIZATOROWI</t>
  </si>
  <si>
    <t xml:space="preserve">Przychód na pokrycie kosztów organizacyjnych</t>
  </si>
  <si>
    <t xml:space="preserve">Tyle wpływa na działalność.</t>
  </si>
  <si>
    <t xml:space="preserve">minus koszty twarde</t>
  </si>
  <si>
    <t xml:space="preserve">Wydatki, które i tak poniesiesz.</t>
  </si>
  <si>
    <t xml:space="preserve">Podstawa opodatkowania</t>
  </si>
  <si>
    <t xml:space="preserve">Uproszczenie: bez innych kosztów działalności.</t>
  </si>
  <si>
    <t xml:space="preserve">Podatek liniowy</t>
  </si>
  <si>
    <t xml:space="preserve">Składka zdrowotna</t>
  </si>
  <si>
    <t xml:space="preserve">ZOSTAJE NETTO</t>
  </si>
  <si>
    <t xml:space="preserve">Wynagrodzenie za cały rok pracy nad edycją.</t>
  </si>
  <si>
    <t xml:space="preserve">Stawka rzeczywista za godzinę</t>
  </si>
  <si>
    <t xml:space="preserve">Porównaj ze stawką z pola powyżej. Niżej = dopłacasz własnym czasem.</t>
  </si>
  <si>
    <t xml:space="preserve">Uwaga: fundraising (spotkania, pisma, prezentacje, odmowy) nie jest ujęty w arkuszu Praca.</t>
  </si>
  <si>
    <t xml:space="preserve">To realnie 50-100 godzin wykonanych, zanim pojawi się jakakolwiek umowa, i nikt ich nie opłaca.</t>
  </si>
  <si>
    <t xml:space="preserve">Źródło przeliczenia Nike: indeks cen konsumpcyjnych dla Polski, I 1997 = 32,94, IX 2026 = 104,27 (Eurostat/FRED).</t>
  </si>
  <si>
    <t xml:space="preserve">Nakład pracy organizatora</t>
  </si>
  <si>
    <t xml:space="preserve">Kolumna Stałe to godziny niezależne od liczby zgłoszeń. Na zgłoszenie to minuty mnożone przez liczbę zgłoszeń.</t>
  </si>
  <si>
    <t xml:space="preserve">Pozycja</t>
  </si>
  <si>
    <t xml:space="preserve">Stałe (h)</t>
  </si>
  <si>
    <t xml:space="preserve">Na zgłoszenie (min)</t>
  </si>
  <si>
    <t xml:space="preserve">Razem (h)</t>
  </si>
  <si>
    <t xml:space="preserve">Przygotowanie: regulamin, strona, procedury</t>
  </si>
  <si>
    <t xml:space="preserve">wykonane do 19.10.2026, poza budżetem</t>
  </si>
  <si>
    <t xml:space="preserve">Rekrutacja Kapituły i Akademii, korespondencja</t>
  </si>
  <si>
    <t xml:space="preserve">15 czytelników, 3-5 jurorów, plus lista rezerwowa</t>
  </si>
  <si>
    <t xml:space="preserve">Próba kalibracyjna i dwie powtórki kotwic</t>
  </si>
  <si>
    <t xml:space="preserve">3 rozmowy, omówienie rozbieżności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</si>
  <si>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</si>
  <si>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</si>
  <si>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</si>
  <si>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ręczna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</si>
  <si>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</si>
  <si>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</si>
  <si>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</si>
  <si>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</si>
  <si>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Kapitułą</t>
  </si>
  <si>
    <t xml:space="preserve">spotkania, protokoły, rozbieżności</t>
  </si>
  <si>
    <t xml:space="preserve">Rozmowy weryfikacyjne (10 finalistów)</t>
  </si>
  <si>
    <t xml:space="preserve">do 20 minut plus umawianie i notatki</t>
  </si>
  <si>
    <t xml:space="preserve">Antologia: redakcja not Kapituły, uzupełnienia, skład treści</t>
  </si>
  <si>
    <t xml:space="preserve">noty pisze Kapituła (§ 8 ust. 13a); Organizator redaguje i ujednolica</t>
  </si>
  <si>
    <t xml:space="preserve">Skład, korekta, EPUB i PDF</t>
  </si>
  <si>
    <t xml:space="preserve">szablon przygotowany wcześniej</t>
  </si>
  <si>
    <t xml:space="preserve">Gala: organizacja, zdjęcia, wysyłki</t>
  </si>
  <si>
    <t xml:space="preserve">bez obsługi zewnętrznej</t>
  </si>
  <si>
    <t xml:space="preserve">Archiwum: publikacja porcjami przez rok</t>
  </si>
  <si>
    <t xml:space="preserve">jedna rozmowa na dwa tygodnie</t>
  </si>
  <si>
    <t xml:space="preserve">Rozliczenia, podatki, sprawozdanie dla sponsora</t>
  </si>
  <si>
    <t xml:space="preserve">z księgowym</t>
  </si>
  <si>
    <t xml:space="preserve">Komunikacja, media, strona</t>
  </si>
  <si>
    <t xml:space="preserve">przez cały rok</t>
  </si>
  <si>
    <t xml:space="preserve">RAZEM GODZIN</t>
  </si>
  <si>
    <t xml:space="preserve">co daje tygodniowo przez rok</t>
  </si>
  <si>
    <t xml:space="preserve">Fundraising nie jest tu ujęty: 50-100 godzin wykonanych zanim pojawi się umowa.</t>
  </si>
  <si>
    <t xml:space="preserve">Koszty twarde</t>
  </si>
  <si>
    <t xml:space="preserve">Wydatki pieniężne, poza pracą organizatora.</t>
  </si>
  <si>
    <t xml:space="preserve">Jednostkowo</t>
  </si>
  <si>
    <t xml:space="preserve">Ilość</t>
  </si>
  <si>
    <t xml:space="preserve">Razem</t>
  </si>
  <si>
    <t xml:space="preserve">Domeny konstela.org i konstela.pl (rok)</t>
  </si>
  <si>
    <t xml:space="preserve">opłacone</t>
  </si>
  <si>
    <t xml:space="preserve">Hosting i poczta</t>
  </si>
  <si>
    <t xml:space="preserve">GitHub Pages i Cloudflare w planach darmowych</t>
  </si>
  <si>
    <t xml:space="preserve">Konsultacja prawna</t>
  </si>
  <si>
    <t xml:space="preserve">cztery obszary; pozycja obowiązkowa przed naborem</t>
  </si>
  <si>
    <t xml:space="preserve">Obsługa księgowa projektu</t>
  </si>
  <si>
    <t xml:space="preserve">ponad bieżącą obsługę działalności</t>
  </si>
  <si>
    <t xml:space="preserve">Medal laureata i dyplomy</t>
  </si>
  <si>
    <t xml:space="preserve">mosiądz grawerowany plus 10 dyplomów</t>
  </si>
  <si>
    <t xml:space="preserve">Skład i korekta antologii</t>
  </si>
  <si>
    <t xml:space="preserve">korekta zewnętrzna, skład własny</t>
  </si>
  <si>
    <t xml:space="preserve">ISBN i egzemplarz obowiązkowy</t>
  </si>
  <si>
    <t xml:space="preserve">nadanie bezpłatne</t>
  </si>
  <si>
    <t xml:space="preserve">Druk 30 egz. dla Akademii, Kapituły i finalistów</t>
  </si>
  <si>
    <t xml:space="preserve">z ekslibrisami podpisanymi na gali</t>
  </si>
  <si>
    <t xml:space="preserve">Gala: sala, obsługa, poczęstunek</t>
  </si>
  <si>
    <t xml:space="preserve">do negocjacji z patronem albo partnerem</t>
  </si>
  <si>
    <t xml:space="preserve">Fotograf na gali</t>
  </si>
  <si>
    <t xml:space="preserve">zdjęcie grupowe i dokumentacja</t>
  </si>
  <si>
    <t xml:space="preserve">Przejazdy i noclegi Kapituły</t>
  </si>
  <si>
    <t xml:space="preserve">zwrot kosztów</t>
  </si>
  <si>
    <t xml:space="preserve">Rezerwa na nieprzewidziane (10%)</t>
  </si>
  <si>
    <t xml:space="preserve">liczona od sumy powyżej</t>
  </si>
  <si>
    <t xml:space="preserve">RAZEM KOSZTY TWARDE</t>
  </si>
  <si>
    <t xml:space="preserve">Pozycje do negocjacji z patronem medialnym albo instytucją: gala i fotograf.</t>
  </si>
  <si>
    <t xml:space="preserve">Przy patronacie instytucjonalnym sala bywa udostępniana nieodpłatnie.</t>
  </si>
  <si>
    <t xml:space="preserve">Rozkład nakładu pracy w czasie</t>
  </si>
  <si>
    <t xml:space="preserve">Udziały procentowe rozdzielają godziny z arkusza Praca. Suma udziałów musi wynosić 100%.</t>
  </si>
  <si>
    <t xml:space="preserve">Miesiąc</t>
  </si>
  <si>
    <t xml:space="preserve">Udział</t>
  </si>
  <si>
    <t xml:space="preserve">Godzin</t>
  </si>
  <si>
    <t xml:space="preserve">Co się dzieje</t>
  </si>
  <si>
    <t xml:space="preserve">XI-XII 2026</t>
  </si>
  <si>
    <t xml:space="preserve">rekrutacja Kapituły, prawnik, przygotowanie panelu</t>
  </si>
  <si>
    <t xml:space="preserve">I 2027</t>
  </si>
  <si>
    <t xml:space="preserve">rekrutacja Akademii, próba kalibracyjna, otwarcie naboru</t>
  </si>
  <si>
    <t xml:space="preserve">II-IV 2027</t>
  </si>
  <si>
    <t xml:space="preserve">pierwsze zgłoszenia, archiwizacja, bieżąca ocena</t>
  </si>
  <si>
    <t xml:space="preserve">V-VII 2027</t>
  </si>
  <si>
    <t xml:space="preserve">ocena na bieżąco, komunikacja, kotwice w połowie roku</t>
  </si>
  <si>
    <t xml:space="preserve">VIII-X 2027</t>
  </si>
  <si>
    <t xml:space="preserve">ocena na bieżąco, przypomnienia dla czytelników</t>
  </si>
  <si>
    <t xml:space="preserve">XI-XII 2027</t>
  </si>
  <si>
    <t xml:space="preserve">szczyt napływu zgłoszeń przed końcem okna rozmów</t>
  </si>
  <si>
    <t xml:space="preserve">I 2028</t>
  </si>
  <si>
    <t xml:space="preserve">zamknięcie naboru, ocena formalna, zamrożenie punktacji</t>
  </si>
  <si>
    <t xml:space="preserve">II 2028</t>
  </si>
  <si>
    <t xml:space="preserve">runda druga z Kapitułą, start pisania not</t>
  </si>
  <si>
    <t xml:space="preserve">III 2028</t>
  </si>
  <si>
    <t xml:space="preserve">rozmowy weryfikacyjne, noty, skład, gala</t>
  </si>
  <si>
    <t xml:space="preserve">IV-XII 2028</t>
  </si>
  <si>
    <t xml:space="preserve">archiwum porcjami, druk, wysyłki, rozliczenia</t>
  </si>
  <si>
    <t xml:space="preserve">RAZEM</t>
  </si>
  <si>
    <t xml:space="preserve">Na czerwono miesiące, w których nakład przekracza 15% całości - to jest szczyt, a nie średnia.</t>
  </si>
  <si>
    <t xml:space="preserve">Luty i marzec 2028 to łącznie blisko 40% rocznej pracy w osiem tygodni.</t>
  </si>
  <si>
    <t xml:space="preserve">Rozbrojenie szczytu: szablon składu i okładka w styczniu, korekta zlecona na zewnątrz,</t>
  </si>
  <si>
    <t xml:space="preserve">komentarze jurorów zbierane w formularzu oceny jako surowiec not, w ostateczności gala pod koniec kwietnia.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</si>
</sst>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#,##0&quot; zł&quot;"/>
    <numFmt numFmtId="167" formatCode="0.0%"/>
    <numFmt numFmtId="168" formatCode="#,##0&quot; h&quot;"/>
    <numFmt numFmtId="169" formatCode="0.0&quot; h&quot;"/>
    <numFmt numFmtId="170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EFEAE0"/>
        <bgColor rgb="FFF8D7D7"/>
      </patternFill>
    </fill>
    <fill>
      <patternFill patternType="solid">
        <fgColor rgb="FFFFFF99"/>
        <bgColor rgb="FFEFEAE0"/>
      </patternFill>
    </fill>
    <fill>
      <patternFill patternType="solid">
        <fgColor rgb="FFF8D7D7"/>
        <bgColor rgb="FFEFEAE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4F81BD"/>
      <rgbColor rgb="FF9999FF"/>
      <rgbColor rgb="FF993366"/>
      <rgbColor rgb="FFEFEAE0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D7D7"/>
      <rgbColor rgb="FF3366FF"/>
      <rgbColor rgb="FF33CCCC"/>
      <rgbColor rgb="FF99CC00"/>
      <rgbColor rgb="FFFFCC00"/>
      <rgbColor rgb="FFFF9900"/>
      <rgbColor rgb="FFFF6600"/>
      <rgbColor rgb="FF666666"/>
      <rgbColor rgb="FFB3B3B3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Godziny pracy w czasie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'Rozkład w czasie'!C4</c:f>
              <c:strCache>
                <c:ptCount val="1"/>
                <c:pt idx="0">
                  <c:v>Godzin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'Rozkład w czasie'!$A$5:$A$14</c:f>
              <c:strCache>
                <c:ptCount val="10"/>
                <c:pt idx="0">
                  <c:v>XI-XII 2026</c:v>
                </c:pt>
                <c:pt idx="1">
                  <c:v>I 2027</c:v>
                </c:pt>
                <c:pt idx="2">
                  <c:v>II-IV 2027</c:v>
                </c:pt>
                <c:pt idx="3">
                  <c:v>V-VII 2027</c:v>
                </c:pt>
                <c:pt idx="4">
                  <c:v>VIII-X 2027</c:v>
                </c:pt>
                <c:pt idx="5">
                  <c:v>XI-XII 2027</c:v>
                </c:pt>
                <c:pt idx="6">
                  <c:v>I 2028</c:v>
                </c:pt>
                <c:pt idx="7">
                  <c:v>II 2028</c:v>
                </c:pt>
                <c:pt idx="8">
                  <c:v>III 2028</c:v>
                </c:pt>
                <c:pt idx="9">
                  <c:v>IV-XII 2028</c:v>
                </c:pt>
              </c:strCache>
            </c:strRef>
          </c:cat>
          <c:val>
            <c:numRef>
              <c:f>'Rozkład w czasie'!$C$5:$C$14</c:f>
              <c:numCache>
                <c:formatCode>#,##0" h"</c:formatCode>
                <c:ptCount val="10"/>
                <c:pt idx="0">
                  <c:v>29.22</c:v>
                </c:pt>
                <c:pt idx="1">
                  <c:v>24.35</c:v>
                </c:pt>
                <c:pt idx="2">
                  <c:v>34.09</c:v>
                </c:pt>
                <c:pt idx="3">
                  <c:v>34.09</c:v>
                </c:pt>
                <c:pt idx="4">
                  <c:v>38.96</c:v>
                </c:pt>
                <c:pt idx="5">
                  <c:v>43.83</c:v>
                </c:pt>
                <c:pt idx="6">
                  <c:v>53.57</c:v>
                </c:pt>
                <c:pt idx="7">
                  <c:v>82.79</c:v>
                </c:pt>
                <c:pt idx="8">
                  <c:v>107.14</c:v>
                </c:pt>
                <c:pt idx="9">
                  <c:v>38.96</c:v>
                </c:pt>
              </c:numCache>
            </c:numRef>
          </c:val>
        </c:ser>
        <c:gapWidth val="150"/>
        <c:overlap val="0"/>
        <c:axId val="57450745"/>
        <c:axId val="14531063"/>
      </c:barChart>
      <c:catAx>
        <c:axId val="5745074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531063"/>
        <c:crosses val="autoZero"/>
        <c:auto val="1"/>
        <c:lblAlgn val="ctr"/>
        <c:lblOffset val="100"/>
        <c:noMultiLvlLbl val="0"/>
      </c:catAx>
      <c:valAx>
        <c:axId val="1453106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&quot; h&quot;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45074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15</xdr:col>
      <xdr:colOff>364320</xdr:colOff>
      <xdr:row>18</xdr:row>
      <xdr:rowOff>7200</xdr:rowOff>
    </xdr:to>
    <xdr:graphicFrame>
      <xdr:nvGraphicFramePr>
        <xdr:cNvPr id="0" name="Chart 1"/>
        <xdr:cNvGraphicFramePr/>
      </xdr:nvGraphicFramePr>
      <xdr:xfrm>
        <a:off x="7848720" y="566640"/>
        <a:ext cx="64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6"/>
    <col collapsed="false" customWidth="true" hidden="false" outlineLevel="0" max="3" min="3" style="1" width="62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/>
      <c r="C4" s="5"/>
    </row>
    <row r="5" customFormat="false" ht="15" hidden="false" customHeight="true" outlineLevel="0" collapsed="false">
      <c r="A5" s="6" t="s">
        <v>3</v>
      </c>
      <c r="B5" s="7" t="n">
        <v>150</v>
      </c>
      <c r="C5" s="8" t="s">
        <v>4</v>
      </c>
    </row>
    <row r="6" customFormat="false" ht="15" hidden="false" customHeight="true" outlineLevel="0" collapsed="false">
      <c r="A6" s="6" t="s">
        <v>5</v>
      </c>
      <c r="B6" s="9" t="n">
        <v>220</v>
      </c>
      <c r="C6" s="8" t="s">
        <v>6</v>
      </c>
    </row>
    <row r="7" customFormat="false" ht="15" hidden="false" customHeight="true" outlineLevel="0" collapsed="false">
      <c r="A7" s="6" t="s">
        <v>7</v>
      </c>
      <c r="B7" s="9" t="n">
        <v>300000</v>
      </c>
      <c r="C7" s="8" t="s">
        <v>8</v>
      </c>
    </row>
    <row r="8" customFormat="false" ht="15" hidden="false" customHeight="true" outlineLevel="0" collapsed="false">
      <c r="A8" s="6" t="s">
        <v>9</v>
      </c>
      <c r="B8" s="9" t="n">
        <v>10000</v>
      </c>
      <c r="C8" s="8" t="s">
        <v>10</v>
      </c>
    </row>
    <row r="9" customFormat="false" ht="15" hidden="false" customHeight="true" outlineLevel="0" collapsed="false">
      <c r="A9" s="6" t="s">
        <v>11</v>
      </c>
      <c r="B9" s="7" t="n">
        <v>9</v>
      </c>
      <c r="C9" s="8" t="s">
        <v>12</v>
      </c>
    </row>
    <row r="10" customFormat="false" ht="15" hidden="false" customHeight="true" outlineLevel="0" collapsed="false">
      <c r="A10" s="6" t="s">
        <v>13</v>
      </c>
      <c r="B10" s="10" t="n">
        <v>0.1</v>
      </c>
      <c r="C10" s="8" t="s">
        <v>14</v>
      </c>
    </row>
    <row r="11" customFormat="false" ht="15" hidden="false" customHeight="true" outlineLevel="0" collapsed="false">
      <c r="A11" s="6" t="s">
        <v>15</v>
      </c>
      <c r="B11" s="10" t="n">
        <v>0.19</v>
      </c>
      <c r="C11" s="8" t="s">
        <v>16</v>
      </c>
    </row>
    <row r="12" customFormat="false" ht="15" hidden="false" customHeight="true" outlineLevel="0" collapsed="false">
      <c r="A12" s="6" t="s">
        <v>17</v>
      </c>
      <c r="B12" s="10" t="n">
        <v>0.049</v>
      </c>
      <c r="C12" s="8" t="s">
        <v>18</v>
      </c>
    </row>
    <row r="14" customFormat="false" ht="15" hidden="false" customHeight="true" outlineLevel="0" collapsed="false">
      <c r="A14" s="4" t="s">
        <v>19</v>
      </c>
      <c r="B14" s="5"/>
      <c r="C14" s="5"/>
    </row>
    <row r="15" customFormat="false" ht="15" hidden="false" customHeight="true" outlineLevel="0" collapsed="false">
      <c r="A15" s="6" t="s">
        <v>20</v>
      </c>
      <c r="B15" s="11" t="n">
        <f aca="false">Założenia!$B$7+Założenia!$B$8*Założenia!$B$9</f>
        <v>390000</v>
      </c>
      <c r="C15" s="8" t="s">
        <v>21</v>
      </c>
    </row>
    <row r="16" customFormat="false" ht="15" hidden="false" customHeight="true" outlineLevel="0" collapsed="false">
      <c r="A16" s="6" t="s">
        <v>22</v>
      </c>
      <c r="B16" s="11" t="n">
        <f aca="false">B15*Założenia!$B$10</f>
        <v>39000</v>
      </c>
      <c r="C16" s="8" t="s">
        <v>23</v>
      </c>
    </row>
    <row r="17" customFormat="false" ht="15" hidden="false" customHeight="true" outlineLevel="0" collapsed="false">
      <c r="A17" s="6" t="s">
        <v>24</v>
      </c>
      <c r="B17" s="11" t="n">
        <f aca="false">Koszty!$D$30</f>
        <v>30415</v>
      </c>
      <c r="C17" s="8" t="s">
        <v>25</v>
      </c>
    </row>
    <row r="18" customFormat="false" ht="15" hidden="false" customHeight="true" outlineLevel="0" collapsed="false">
      <c r="A18" s="6" t="s">
        <v>26</v>
      </c>
      <c r="B18" s="12" t="n">
        <f aca="false">Praca!$D$30</f>
        <v>487</v>
      </c>
      <c r="C18" s="8" t="s">
        <v>27</v>
      </c>
    </row>
    <row r="19" customFormat="false" ht="15" hidden="false" customHeight="true" outlineLevel="0" collapsed="false">
      <c r="A19" s="6" t="s">
        <v>28</v>
      </c>
      <c r="B19" s="11" t="n">
        <f aca="false">B18*Założenia!$B$6</f>
        <v>107140</v>
      </c>
      <c r="C19" s="8" t="s">
        <v>29</v>
      </c>
    </row>
    <row r="20" customFormat="false" ht="15" hidden="false" customHeight="true" outlineLevel="0" collapsed="false">
      <c r="A20" s="6" t="s">
        <v>30</v>
      </c>
      <c r="B20" s="11" t="n">
        <f aca="false">B17+B19</f>
        <v>137555</v>
      </c>
      <c r="C20" s="8" t="s">
        <v>31</v>
      </c>
    </row>
    <row r="21" customFormat="false" ht="15" hidden="false" customHeight="true" outlineLevel="0" collapsed="false">
      <c r="A21" s="6" t="s">
        <v>32</v>
      </c>
      <c r="B21" s="13" t="n">
        <f aca="false">B20/(B15+B20)</f>
        <v>0.260740586289581</v>
      </c>
      <c r="C21" s="8" t="s">
        <v>33</v>
      </c>
    </row>
    <row r="22" customFormat="false" ht="15" hidden="false" customHeight="true" outlineLevel="0" collapsed="false">
      <c r="A22" s="14" t="s">
        <v>34</v>
      </c>
      <c r="B22" s="15" t="n">
        <f aca="false">B15+B20</f>
        <v>527555</v>
      </c>
      <c r="C22" s="8" t="s">
        <v>35</v>
      </c>
    </row>
    <row r="23" customFormat="false" ht="15" hidden="false" customHeight="true" outlineLevel="0" collapsed="false">
      <c r="A23" s="6" t="s">
        <v>36</v>
      </c>
      <c r="B23" s="11" t="n">
        <f aca="false">B22*1.23</f>
        <v>648892.65</v>
      </c>
      <c r="C23" s="8" t="s">
        <v>37</v>
      </c>
    </row>
    <row r="25" customFormat="false" ht="15" hidden="false" customHeight="true" outlineLevel="0" collapsed="false">
      <c r="A25" s="4" t="s">
        <v>38</v>
      </c>
      <c r="B25" s="5"/>
      <c r="C25" s="5"/>
    </row>
    <row r="26" customFormat="false" ht="15" hidden="false" customHeight="true" outlineLevel="0" collapsed="false">
      <c r="A26" s="6" t="s">
        <v>39</v>
      </c>
      <c r="B26" s="11" t="n">
        <f aca="false">B20</f>
        <v>137555</v>
      </c>
      <c r="C26" s="8" t="s">
        <v>40</v>
      </c>
    </row>
    <row r="27" customFormat="false" ht="15" hidden="false" customHeight="true" outlineLevel="0" collapsed="false">
      <c r="A27" s="6" t="s">
        <v>41</v>
      </c>
      <c r="B27" s="11" t="n">
        <f aca="false">-B17</f>
        <v>-30415</v>
      </c>
      <c r="C27" s="8" t="s">
        <v>42</v>
      </c>
    </row>
    <row r="28" customFormat="false" ht="15" hidden="false" customHeight="true" outlineLevel="0" collapsed="false">
      <c r="A28" s="6" t="s">
        <v>43</v>
      </c>
      <c r="B28" s="11" t="n">
        <f aca="false">B26+B27</f>
        <v>107140</v>
      </c>
      <c r="C28" s="8" t="s">
        <v>44</v>
      </c>
    </row>
    <row r="29" customFormat="false" ht="15" hidden="false" customHeight="true" outlineLevel="0" collapsed="false">
      <c r="A29" s="6" t="s">
        <v>45</v>
      </c>
      <c r="B29" s="11" t="n">
        <f aca="false">-B28*Założenia!$B$11</f>
        <v>-20356.6</v>
      </c>
      <c r="C29" s="8" t="s">
        <v>18</v>
      </c>
    </row>
    <row r="30" customFormat="false" ht="15" hidden="false" customHeight="true" outlineLevel="0" collapsed="false">
      <c r="A30" s="6" t="s">
        <v>46</v>
      </c>
      <c r="B30" s="11" t="n">
        <f aca="false">-B28*Założenia!$B$12</f>
        <v>-5249.86</v>
      </c>
      <c r="C30" s="8" t="s">
        <v>18</v>
      </c>
    </row>
    <row r="31" customFormat="false" ht="15" hidden="false" customHeight="true" outlineLevel="0" collapsed="false">
      <c r="A31" s="14" t="s">
        <v>47</v>
      </c>
      <c r="B31" s="15" t="n">
        <f aca="false">B28+B29+B30</f>
        <v>81533.54</v>
      </c>
      <c r="C31" s="8" t="s">
        <v>48</v>
      </c>
    </row>
    <row r="32" customFormat="false" ht="15" hidden="false" customHeight="true" outlineLevel="0" collapsed="false">
      <c r="A32" s="14" t="s">
        <v>49</v>
      </c>
      <c r="B32" s="15" t="n">
        <f aca="false">IFERROR(B31/Praca!$D$30,0)</f>
        <v>167.42</v>
      </c>
      <c r="C32" s="8" t="s">
        <v>50</v>
      </c>
    </row>
    <row r="34" customFormat="false" ht="15" hidden="false" customHeight="true" outlineLevel="0" collapsed="false">
      <c r="A34" s="3" t="s">
        <v>51</v>
      </c>
    </row>
    <row r="35" customFormat="false" ht="15" hidden="false" customHeight="true" outlineLevel="0" collapsed="false">
      <c r="A35" s="3" t="s">
        <v>52</v>
      </c>
    </row>
    <row r="36" customFormat="false" ht="15" hidden="false" customHeight="true" outlineLevel="0" collapsed="false">
      <c r="A36" s="3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4" min="2" style="1" width="13"/>
  </cols>
  <sheetData>
    <row r="1" customFormat="false" ht="15.75" hidden="false" customHeight="true" outlineLevel="0" collapsed="false">
      <c r="A1" s="16" t="s">
        <v>54</v>
      </c>
    </row>
    <row r="2" customFormat="false" ht="15" hidden="false" customHeight="true" outlineLevel="0" collapsed="false">
      <c r="A2" s="3" t="s">
        <v>55</v>
      </c>
    </row>
    <row r="4" customFormat="false" ht="15" hidden="false" customHeight="true" outlineLevel="0" collapsed="false">
      <c r="A4" s="17" t="s">
        <v>56</v>
      </c>
      <c r="B4" s="17" t="s">
        <v>57</v>
      </c>
      <c r="C4" s="17" t="s">
        <v>58</v>
      </c>
      <c r="D4" s="17" t="s">
        <v>59</v>
      </c>
    </row>
    <row r="5" customFormat="false" ht="15" hidden="false" customHeight="true" outlineLevel="0" collapsed="false">
      <c r="A5" s="6" t="s">
        <v>60</v>
      </c>
      <c r="B5" s="7" t="n">
        <v>0</v>
      </c>
      <c r="C5" s="7" t="n">
        <v>0</v>
      </c>
      <c r="D5" s="18" t="n">
        <f aca="false">B5+C5*Założenia!$B$5/60</f>
        <v>0</v>
      </c>
      <c r="E5" s="3" t="s">
        <v>61</v>
      </c>
    </row>
    <row r="6" customFormat="false" ht="15" hidden="false" customHeight="true" outlineLevel="0" collapsed="false">
      <c r="A6" s="6" t="s">
        <v>62</v>
      </c>
      <c r="B6" s="7" t="n">
        <v>60</v>
      </c>
      <c r="C6" s="7" t="n">
        <v>0</v>
      </c>
      <c r="D6" s="18" t="n">
        <f aca="false">B6+C6*Założenia!$B$5/60</f>
        <v>60</v>
      </c>
      <c r="E6" s="3" t="s">
        <v>63</v>
      </c>
    </row>
    <row r="7" customFormat="false" ht="15" hidden="false" customHeight="true" outlineLevel="0" collapsed="false">
      <c r="A7" s="6" t="s">
        <v>64</v>
      </c>
      <c r="B7" s="7" t="n">
        <v>24</v>
      </c>
      <c r="C7" s="7" t="n">
        <v>0</v>
      </c>
      <c r="D7" s="18" t="n">
        <f aca="false">B7+C7*Założenia!$B$5/60</f>
        <v>24</v>
      </c>
      <c r="E7" s="3" t="s">
        <v>65</v>
      </c>
    </row>
    <row r="8" customFormat="false" ht="15" hidden="false" customHeight="true" outlineLevel="0" collapsed="false">
      <c r="A8" s="6" t="s">
        <v>66</v>
      </c>
      <c r="B8" s="7" t="n">
        <v>50</v>
      </c>
      <c r="C8" s="7" t="n">
        <v>0</v>
      </c>
      <c r="D8" s="18" t="n">
        <f aca="false">B8+C8*Założenia!$B$5/60</f>
        <v>50</v>
      </c>
      <c r="E8" s="3" t="s">
        <v>67</v>
      </c>
    </row>
    <row r="9" customFormat="false" ht="15" hidden="false" customHeight="true" outlineLevel="0" collapsed="false">
      <c r="A9" s="6" t="s">
        <v>68</v>
      </c>
      <c r="B9" s="7" t="n">
        <v>8</v>
      </c>
      <c r="C9" s="7" t="n">
        <v>6</v>
      </c>
      <c r="D9" s="18" t="n">
        <f aca="false">B9+C9*Założenia!$B$5/60</f>
        <v>23</v>
      </c>
      <c r="E9" s="3" t="s">
        <v>69</v>
      </c>
    </row>
    <row r="10" customFormat="false" ht="15" hidden="false" customHeight="true" outlineLevel="0" collapsed="false">
      <c r="A10" s="6" t="s">
        <v>70</v>
      </c>
      <c r="B10" s="7" t="n">
        <v>10</v>
      </c>
      <c r="C10" s="7" t="n">
        <v>4</v>
      </c>
      <c r="D10" s="18" t="n">
        <f aca="false">B10+C10*Założenia!$B$5/60</f>
        <v>20</v>
      </c>
      <c r="E10" s="3" t="s">
        <v>71</v>
      </c>
    </row>
    <row r="11" customFormat="false" ht="15" hidden="false" customHeight="true" outlineLevel="0" collapsed="false">
      <c r="A11" s="6" t="s">
        <v>72</v>
      </c>
      <c r="B11" s="7" t="n">
        <v>20</v>
      </c>
      <c r="C11" s="7" t="n">
        <v>0</v>
      </c>
      <c r="D11" s="18" t="n">
        <f aca="false">B11+C11*Założenia!$B$5/60</f>
        <v>20</v>
      </c>
      <c r="E11" s="3" t="s">
        <v>73</v>
      </c>
    </row>
    <row r="12" customFormat="false" ht="15" hidden="false" customHeight="true" outlineLevel="0" collapsed="false">
      <c r="A12" s="6" t="s">
        <v>74</v>
      </c>
      <c r="B12" s="7" t="n">
        <v>40</v>
      </c>
      <c r="C12" s="7" t="n">
        <v>0</v>
      </c>
      <c r="D12" s="18" t="n">
        <f aca="false">B12+C12*Założenia!$B$5/60</f>
        <v>40</v>
      </c>
      <c r="E12" s="3" t="s">
        <v>75</v>
      </c>
    </row>
    <row r="13" customFormat="false" ht="15" hidden="false" customHeight="true" outlineLevel="0" collapsed="false">
      <c r="A13" s="6" t="s">
        <v>76</v>
      </c>
      <c r="B13" s="7" t="n">
        <v>25</v>
      </c>
      <c r="C13" s="7" t="n">
        <v>0</v>
      </c>
      <c r="D13" s="18" t="n">
        <f aca="false">B13+C13*Założenia!$B$5/60</f>
        <v>25</v>
      </c>
      <c r="E13" s="3" t="s">
        <v>77</v>
      </c>
    </row>
    <row r="14" customFormat="false" ht="15" hidden="false" customHeight="true" outlineLevel="0" collapsed="false">
      <c r="A14" s="6" t="s">
        <v>78</v>
      </c>
      <c r="B14" s="7" t="n">
        <v>45</v>
      </c>
      <c r="C14" s="7" t="n">
        <v>0</v>
      </c>
      <c r="D14" s="18" t="n">
        <f aca="false">B14+C14*Założenia!$B$5/60</f>
        <v>45</v>
      </c>
      <c r="E14" s="3" t="s">
        <v>79</v>
      </c>
    </row>
    <row r="15" customFormat="false" ht="15" hidden="false" customHeight="true" outlineLevel="0" collapsed="false">
      <c r="A15" s="6" t="s">
        <v>80</v>
      </c>
      <c r="B15" s="7" t="n">
        <v>40</v>
      </c>
      <c r="C15" s="7" t="n">
        <v>0</v>
      </c>
      <c r="D15" s="18" t="n">
        <f aca="false">B15+C15*Założenia!$B$5/60</f>
        <v>40</v>
      </c>
      <c r="E15" s="3" t="s">
        <v>81</v>
      </c>
    </row>
    <row r="16" customFormat="false" ht="15" hidden="false" customHeight="true" outlineLevel="0" collapsed="false">
      <c r="A16" s="6" t="s">
        <v>82</v>
      </c>
      <c r="B16" s="7" t="n">
        <v>45</v>
      </c>
      <c r="C16" s="7" t="n">
        <v>0</v>
      </c>
      <c r="D16" s="18" t="n">
        <f aca="false">B16+C16*Założenia!$B$5/60</f>
        <v>45</v>
      </c>
      <c r="E16" s="3" t="s">
        <v>83</v>
      </c>
    </row>
    <row r="17" customFormat="false" ht="15" hidden="false" customHeight="true" outlineLevel="0" collapsed="false">
      <c r="A17" s="6" t="s">
        <v>84</v>
      </c>
      <c r="B17" s="7" t="n">
        <v>30</v>
      </c>
      <c r="C17" s="7" t="n">
        <v>0</v>
      </c>
      <c r="D17" s="18" t="n">
        <f aca="false">B17+C17*Założenia!$B$5/60</f>
        <v>30</v>
      </c>
      <c r="E17" s="3" t="s">
        <v>85</v>
      </c>
    </row>
    <row r="18" customFormat="false" ht="15" hidden="false" customHeight="true" outlineLevel="0" collapsed="false">
      <c r="A18" s="6" t="s">
        <v>86</v>
      </c>
      <c r="B18" s="7" t="n">
        <v>25</v>
      </c>
      <c r="C18" s="7" t="n">
        <v>0</v>
      </c>
      <c r="D18" s="18" t="n">
        <f aca="false">B18+C18*Założenia!$B$5/60</f>
        <v>25</v>
      </c>
      <c r="E18" s="3" t="s">
        <v>87</v>
      </c>
    </row>
    <row r="19" customFormat="false" ht="15" hidden="false" customHeight="true" outlineLevel="0" collapsed="false">
      <c r="A19" s="6" t="s">
        <v>88</v>
      </c>
      <c r="B19" s="7" t="n">
        <v>40</v>
      </c>
      <c r="C19" s="7" t="n">
        <v>0</v>
      </c>
      <c r="D19" s="18" t="n">
        <f aca="false">B19+C19*Założenia!$B$5/60</f>
        <v>40</v>
      </c>
      <c r="E19" s="3" t="s">
        <v>89</v>
      </c>
    </row>
    <row r="20" customFormat="false" ht="15" hidden="false" customHeight="true" outlineLevel="0" collapsed="false">
      <c r="D20" s="19" t="n">
        <v>0</v>
      </c>
    </row>
    <row r="21" customFormat="false" ht="15" hidden="false" customHeight="true" outlineLevel="0" collapsed="false">
      <c r="D21" s="19" t="n">
        <v>0</v>
      </c>
    </row>
    <row r="22" customFormat="false" ht="15" hidden="false" customHeight="true" outlineLevel="0" collapsed="false">
      <c r="D22" s="19" t="n">
        <v>0</v>
      </c>
    </row>
    <row r="23" customFormat="false" ht="15" hidden="false" customHeight="true" outlineLevel="0" collapsed="false">
      <c r="D23" s="19" t="n">
        <v>0</v>
      </c>
    </row>
    <row r="24" customFormat="false" ht="15" hidden="false" customHeight="true" outlineLevel="0" collapsed="false">
      <c r="D24" s="19" t="n">
        <v>0</v>
      </c>
    </row>
    <row r="25" customFormat="false" ht="15" hidden="false" customHeight="true" outlineLevel="0" collapsed="false">
      <c r="D25" s="19" t="n">
        <v>0</v>
      </c>
    </row>
    <row r="26" customFormat="false" ht="15" hidden="false" customHeight="true" outlineLevel="0" collapsed="false">
      <c r="D26" s="19" t="n">
        <v>0</v>
      </c>
    </row>
    <row r="27" customFormat="false" ht="15" hidden="false" customHeight="true" outlineLevel="0" collapsed="false">
      <c r="D27" s="19" t="n">
        <v>0</v>
      </c>
    </row>
    <row r="28" customFormat="false" ht="15" hidden="false" customHeight="true" outlineLevel="0" collapsed="false">
      <c r="D28" s="19" t="n">
        <v>0</v>
      </c>
    </row>
    <row r="29" customFormat="false" ht="15" hidden="false" customHeight="true" outlineLevel="0" collapsed="false">
      <c r="D29" s="19" t="n">
        <v>0</v>
      </c>
    </row>
    <row r="30" customFormat="false" ht="15" hidden="false" customHeight="true" outlineLevel="0" collapsed="false">
      <c r="A30" s="20" t="s">
        <v>90</v>
      </c>
      <c r="D30" s="21" t="n">
        <f aca="false">SUM(D5:D19)</f>
        <v>487</v>
      </c>
    </row>
    <row r="31" customFormat="false" ht="15" hidden="false" customHeight="true" outlineLevel="0" collapsed="false">
      <c r="A31" s="3" t="s">
        <v>91</v>
      </c>
      <c r="D31" s="22" t="n">
        <f aca="false">D30/52</f>
        <v>9.36538461538462</v>
      </c>
    </row>
    <row r="33" customFormat="false" ht="15" hidden="false" customHeight="true" outlineLevel="0" collapsed="false">
      <c r="A33" s="3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4" min="2" style="1" width="13"/>
  </cols>
  <sheetData>
    <row r="1" customFormat="false" ht="15.75" hidden="false" customHeight="true" outlineLevel="0" collapsed="false">
      <c r="A1" s="16" t="s">
        <v>93</v>
      </c>
    </row>
    <row r="2" customFormat="false" ht="15" hidden="false" customHeight="true" outlineLevel="0" collapsed="false">
      <c r="A2" s="3" t="s">
        <v>94</v>
      </c>
    </row>
    <row r="4" customFormat="false" ht="15" hidden="false" customHeight="true" outlineLevel="0" collapsed="false">
      <c r="A4" s="17" t="s">
        <v>56</v>
      </c>
      <c r="B4" s="17" t="s">
        <v>95</v>
      </c>
      <c r="C4" s="17" t="s">
        <v>96</v>
      </c>
      <c r="D4" s="17" t="s">
        <v>97</v>
      </c>
    </row>
    <row r="5" customFormat="false" ht="15" hidden="false" customHeight="true" outlineLevel="0" collapsed="false">
      <c r="A5" s="6" t="s">
        <v>98</v>
      </c>
      <c r="B5" s="9" t="n">
        <v>250</v>
      </c>
      <c r="C5" s="7" t="n">
        <v>1</v>
      </c>
      <c r="D5" s="23" t="n">
        <f aca="false">B5*C5</f>
        <v>250</v>
      </c>
      <c r="E5" s="3" t="s">
        <v>99</v>
      </c>
    </row>
    <row r="6" customFormat="false" ht="15" hidden="false" customHeight="true" outlineLevel="0" collapsed="false">
      <c r="A6" s="6" t="s">
        <v>100</v>
      </c>
      <c r="B6" s="9" t="n">
        <v>0</v>
      </c>
      <c r="C6" s="7" t="n">
        <v>1</v>
      </c>
      <c r="D6" s="23" t="n">
        <f aca="false">B6*C6</f>
        <v>0</v>
      </c>
      <c r="E6" s="3" t="s">
        <v>101</v>
      </c>
    </row>
    <row r="7" customFormat="false" ht="15" hidden="false" customHeight="true" outlineLevel="0" collapsed="false">
      <c r="A7" s="6" t="s">
        <v>102</v>
      </c>
      <c r="B7" s="9" t="n">
        <v>6000</v>
      </c>
      <c r="C7" s="7" t="n">
        <v>1</v>
      </c>
      <c r="D7" s="23" t="n">
        <f aca="false">B7*C7</f>
        <v>6000</v>
      </c>
      <c r="E7" s="3" t="s">
        <v>103</v>
      </c>
    </row>
    <row r="8" customFormat="false" ht="15" hidden="false" customHeight="true" outlineLevel="0" collapsed="false">
      <c r="A8" s="6" t="s">
        <v>104</v>
      </c>
      <c r="B8" s="9" t="n">
        <v>1500</v>
      </c>
      <c r="C8" s="7" t="n">
        <v>1</v>
      </c>
      <c r="D8" s="23" t="n">
        <f aca="false">B8*C8</f>
        <v>1500</v>
      </c>
      <c r="E8" s="3" t="s">
        <v>105</v>
      </c>
    </row>
    <row r="9" customFormat="false" ht="15" hidden="false" customHeight="true" outlineLevel="0" collapsed="false">
      <c r="A9" s="6" t="s">
        <v>106</v>
      </c>
      <c r="B9" s="9" t="n">
        <v>1200</v>
      </c>
      <c r="C9" s="7" t="n">
        <v>1</v>
      </c>
      <c r="D9" s="23" t="n">
        <f aca="false">B9*C9</f>
        <v>1200</v>
      </c>
      <c r="E9" s="3" t="s">
        <v>107</v>
      </c>
    </row>
    <row r="10" customFormat="false" ht="15" hidden="false" customHeight="true" outlineLevel="0" collapsed="false">
      <c r="A10" s="6" t="s">
        <v>108</v>
      </c>
      <c r="B10" s="9" t="n">
        <v>4000</v>
      </c>
      <c r="C10" s="7" t="n">
        <v>1</v>
      </c>
      <c r="D10" s="23" t="n">
        <f aca="false">B10*C10</f>
        <v>4000</v>
      </c>
      <c r="E10" s="3" t="s">
        <v>109</v>
      </c>
    </row>
    <row r="11" customFormat="false" ht="15" hidden="false" customHeight="true" outlineLevel="0" collapsed="false">
      <c r="A11" s="6" t="s">
        <v>110</v>
      </c>
      <c r="B11" s="9" t="n">
        <v>0</v>
      </c>
      <c r="C11" s="7" t="n">
        <v>1</v>
      </c>
      <c r="D11" s="23" t="n">
        <f aca="false">B11*C11</f>
        <v>0</v>
      </c>
      <c r="E11" s="3" t="s">
        <v>111</v>
      </c>
    </row>
    <row r="12" customFormat="false" ht="15" hidden="false" customHeight="true" outlineLevel="0" collapsed="false">
      <c r="A12" s="6" t="s">
        <v>112</v>
      </c>
      <c r="B12" s="9" t="n">
        <v>1200</v>
      </c>
      <c r="C12" s="7" t="n">
        <v>1</v>
      </c>
      <c r="D12" s="23" t="n">
        <f aca="false">B12*C12</f>
        <v>1200</v>
      </c>
      <c r="E12" s="3" t="s">
        <v>113</v>
      </c>
    </row>
    <row r="13" customFormat="false" ht="15" hidden="false" customHeight="true" outlineLevel="0" collapsed="false">
      <c r="A13" s="6" t="s">
        <v>114</v>
      </c>
      <c r="B13" s="9" t="n">
        <v>8000</v>
      </c>
      <c r="C13" s="7" t="n">
        <v>1</v>
      </c>
      <c r="D13" s="23" t="n">
        <f aca="false">B13*C13</f>
        <v>8000</v>
      </c>
      <c r="E13" s="3" t="s">
        <v>115</v>
      </c>
    </row>
    <row r="14" customFormat="false" ht="15" hidden="false" customHeight="true" outlineLevel="0" collapsed="false">
      <c r="A14" s="6" t="s">
        <v>116</v>
      </c>
      <c r="B14" s="9" t="n">
        <v>1500</v>
      </c>
      <c r="C14" s="7" t="n">
        <v>1</v>
      </c>
      <c r="D14" s="23" t="n">
        <f aca="false">B14*C14</f>
        <v>1500</v>
      </c>
      <c r="E14" s="3" t="s">
        <v>117</v>
      </c>
    </row>
    <row r="15" customFormat="false" ht="15" hidden="false" customHeight="true" outlineLevel="0" collapsed="false">
      <c r="A15" s="6" t="s">
        <v>118</v>
      </c>
      <c r="B15" s="9" t="n">
        <v>4000</v>
      </c>
      <c r="C15" s="7" t="n">
        <v>1</v>
      </c>
      <c r="D15" s="23" t="n">
        <f aca="false">B15*C15</f>
        <v>4000</v>
      </c>
      <c r="E15" s="3" t="s">
        <v>119</v>
      </c>
    </row>
    <row r="16" customFormat="false" ht="15" hidden="false" customHeight="true" outlineLevel="0" collapsed="false">
      <c r="A16" s="6" t="s">
        <v>120</v>
      </c>
      <c r="B16" s="9" t="n">
        <v>0</v>
      </c>
      <c r="C16" s="7" t="n">
        <v>0</v>
      </c>
      <c r="D16" s="23" t="n">
        <f aca="false">SUM(D5:D15)*0.1</f>
        <v>2765</v>
      </c>
      <c r="E16" s="3" t="s">
        <v>121</v>
      </c>
    </row>
    <row r="17" customFormat="false" ht="15" hidden="false" customHeight="true" outlineLevel="0" collapsed="false">
      <c r="D17" s="24" t="n">
        <v>0</v>
      </c>
    </row>
    <row r="18" customFormat="false" ht="15" hidden="false" customHeight="true" outlineLevel="0" collapsed="false">
      <c r="D18" s="24" t="n">
        <v>0</v>
      </c>
    </row>
    <row r="19" customFormat="false" ht="15" hidden="false" customHeight="true" outlineLevel="0" collapsed="false">
      <c r="D19" s="24" t="n">
        <v>0</v>
      </c>
    </row>
    <row r="20" customFormat="false" ht="15" hidden="false" customHeight="true" outlineLevel="0" collapsed="false">
      <c r="D20" s="24" t="n">
        <v>0</v>
      </c>
    </row>
    <row r="21" customFormat="false" ht="15" hidden="false" customHeight="true" outlineLevel="0" collapsed="false">
      <c r="D21" s="24" t="n">
        <v>0</v>
      </c>
    </row>
    <row r="22" customFormat="false" ht="15" hidden="false" customHeight="true" outlineLevel="0" collapsed="false">
      <c r="D22" s="24" t="n">
        <v>0</v>
      </c>
    </row>
    <row r="23" customFormat="false" ht="15" hidden="false" customHeight="true" outlineLevel="0" collapsed="false">
      <c r="D23" s="24" t="n">
        <v>0</v>
      </c>
    </row>
    <row r="24" customFormat="false" ht="15" hidden="false" customHeight="true" outlineLevel="0" collapsed="false">
      <c r="D24" s="24" t="n">
        <v>0</v>
      </c>
    </row>
    <row r="25" customFormat="false" ht="15" hidden="false" customHeight="true" outlineLevel="0" collapsed="false">
      <c r="D25" s="24" t="n">
        <v>0</v>
      </c>
    </row>
    <row r="26" customFormat="false" ht="15" hidden="false" customHeight="true" outlineLevel="0" collapsed="false">
      <c r="D26" s="24" t="n">
        <v>0</v>
      </c>
    </row>
    <row r="27" customFormat="false" ht="15" hidden="false" customHeight="true" outlineLevel="0" collapsed="false">
      <c r="D27" s="24" t="n">
        <v>0</v>
      </c>
    </row>
    <row r="28" customFormat="false" ht="15" hidden="false" customHeight="true" outlineLevel="0" collapsed="false">
      <c r="D28" s="24" t="n">
        <v>0</v>
      </c>
    </row>
    <row r="29" customFormat="false" ht="15" hidden="false" customHeight="true" outlineLevel="0" collapsed="false">
      <c r="D29" s="24" t="n">
        <v>0</v>
      </c>
    </row>
    <row r="30" customFormat="false" ht="15" hidden="false" customHeight="true" outlineLevel="0" collapsed="false">
      <c r="A30" s="20" t="s">
        <v>122</v>
      </c>
      <c r="D30" s="25" t="n">
        <f aca="false">SUM(D5:D16)</f>
        <v>30415</v>
      </c>
    </row>
    <row r="32" customFormat="false" ht="15" hidden="false" customHeight="true" outlineLevel="0" collapsed="false">
      <c r="A32" s="3" t="s">
        <v>123</v>
      </c>
    </row>
    <row r="33" customFormat="false" ht="15" hidden="false" customHeight="true" outlineLevel="0" collapsed="false">
      <c r="A33" s="3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58"/>
  </cols>
  <sheetData>
    <row r="1" customFormat="false" ht="15.75" hidden="false" customHeight="true" outlineLevel="0" collapsed="false">
      <c r="A1" s="16" t="s">
        <v>125</v>
      </c>
    </row>
    <row r="2" customFormat="false" ht="15" hidden="false" customHeight="true" outlineLevel="0" collapsed="false">
      <c r="A2" s="3" t="s">
        <v>126</v>
      </c>
    </row>
    <row r="4" customFormat="false" ht="15" hidden="false" customHeight="true" outlineLevel="0" collapsed="false">
      <c r="A4" s="17" t="s">
        <v>127</v>
      </c>
      <c r="B4" s="17" t="s">
        <v>128</v>
      </c>
      <c r="C4" s="17" t="s">
        <v>129</v>
      </c>
      <c r="D4" s="17" t="s">
        <v>130</v>
      </c>
    </row>
    <row r="5" customFormat="false" ht="15" hidden="false" customHeight="true" outlineLevel="0" collapsed="false">
      <c r="A5" s="26" t="s">
        <v>131</v>
      </c>
      <c r="B5" s="27" t="n">
        <v>0.06</v>
      </c>
      <c r="C5" s="19" t="n">
        <f aca="false">B5*Praca!$D$30</f>
        <v>29.22</v>
      </c>
      <c r="D5" s="3" t="s">
        <v>132</v>
      </c>
    </row>
    <row r="6" customFormat="false" ht="15" hidden="false" customHeight="true" outlineLevel="0" collapsed="false">
      <c r="A6" s="26" t="s">
        <v>133</v>
      </c>
      <c r="B6" s="27" t="n">
        <v>0.05</v>
      </c>
      <c r="C6" s="19" t="n">
        <f aca="false">B6*Praca!$D$30</f>
        <v>24.35</v>
      </c>
      <c r="D6" s="3" t="s">
        <v>134</v>
      </c>
    </row>
    <row r="7" customFormat="false" ht="15" hidden="false" customHeight="true" outlineLevel="0" collapsed="false">
      <c r="A7" s="26" t="s">
        <v>135</v>
      </c>
      <c r="B7" s="27" t="n">
        <v>0.07</v>
      </c>
      <c r="C7" s="19" t="n">
        <f aca="false">B7*Praca!$D$30</f>
        <v>34.09</v>
      </c>
      <c r="D7" s="3" t="s">
        <v>136</v>
      </c>
    </row>
    <row r="8" customFormat="false" ht="15" hidden="false" customHeight="true" outlineLevel="0" collapsed="false">
      <c r="A8" s="26" t="s">
        <v>137</v>
      </c>
      <c r="B8" s="27" t="n">
        <v>0.07</v>
      </c>
      <c r="C8" s="19" t="n">
        <f aca="false">B8*Praca!$D$30</f>
        <v>34.09</v>
      </c>
      <c r="D8" s="3" t="s">
        <v>138</v>
      </c>
    </row>
    <row r="9" customFormat="false" ht="15" hidden="false" customHeight="true" outlineLevel="0" collapsed="false">
      <c r="A9" s="26" t="s">
        <v>139</v>
      </c>
      <c r="B9" s="27" t="n">
        <v>0.08</v>
      </c>
      <c r="C9" s="19" t="n">
        <f aca="false">B9*Praca!$D$30</f>
        <v>38.96</v>
      </c>
      <c r="D9" s="3" t="s">
        <v>140</v>
      </c>
    </row>
    <row r="10" customFormat="false" ht="15" hidden="false" customHeight="true" outlineLevel="0" collapsed="false">
      <c r="A10" s="26" t="s">
        <v>141</v>
      </c>
      <c r="B10" s="27" t="n">
        <v>0.09</v>
      </c>
      <c r="C10" s="19" t="n">
        <f aca="false">B10*Praca!$D$30</f>
        <v>43.83</v>
      </c>
      <c r="D10" s="3" t="s">
        <v>142</v>
      </c>
    </row>
    <row r="11" customFormat="false" ht="15" hidden="false" customHeight="true" outlineLevel="0" collapsed="false">
      <c r="A11" s="26" t="s">
        <v>143</v>
      </c>
      <c r="B11" s="27" t="n">
        <v>0.11</v>
      </c>
      <c r="C11" s="19" t="n">
        <f aca="false">B11*Praca!$D$30</f>
        <v>53.57</v>
      </c>
      <c r="D11" s="3" t="s">
        <v>144</v>
      </c>
    </row>
    <row r="12" customFormat="false" ht="15" hidden="false" customHeight="true" outlineLevel="0" collapsed="false">
      <c r="A12" s="28" t="s">
        <v>145</v>
      </c>
      <c r="B12" s="27" t="n">
        <v>0.17</v>
      </c>
      <c r="C12" s="29" t="n">
        <f aca="false">B12*Praca!$D$30</f>
        <v>82.79</v>
      </c>
      <c r="D12" s="3" t="s">
        <v>146</v>
      </c>
    </row>
    <row r="13" customFormat="false" ht="15" hidden="false" customHeight="true" outlineLevel="0" collapsed="false">
      <c r="A13" s="28" t="s">
        <v>147</v>
      </c>
      <c r="B13" s="27" t="n">
        <v>0.22</v>
      </c>
      <c r="C13" s="29" t="n">
        <f aca="false">B13*Praca!$D$30</f>
        <v>107.14</v>
      </c>
      <c r="D13" s="3" t="s">
        <v>148</v>
      </c>
    </row>
    <row r="14" customFormat="false" ht="15" hidden="false" customHeight="true" outlineLevel="0" collapsed="false">
      <c r="A14" s="26" t="s">
        <v>149</v>
      </c>
      <c r="B14" s="27" t="n">
        <v>0.08</v>
      </c>
      <c r="C14" s="19" t="n">
        <f aca="false">B14*Praca!$D$30</f>
        <v>38.96</v>
      </c>
      <c r="D14" s="3" t="s">
        <v>150</v>
      </c>
    </row>
    <row r="15" customFormat="false" ht="15" hidden="false" customHeight="true" outlineLevel="0" collapsed="false">
      <c r="A15" s="20" t="s">
        <v>151</v>
      </c>
      <c r="B15" s="30" t="n">
        <f aca="false">SUM(B5:B14)</f>
        <v>1</v>
      </c>
      <c r="C15" s="21" t="n">
        <f aca="false">SUM(C5:C14)</f>
        <v>487</v>
      </c>
    </row>
    <row r="17" customFormat="false" ht="15" hidden="false" customHeight="true" outlineLevel="0" collapsed="false">
      <c r="A17" s="3" t="s">
        <v>152</v>
      </c>
    </row>
    <row r="18" customFormat="false" ht="15" hidden="false" customHeight="true" outlineLevel="0" collapsed="false">
      <c r="A18" s="3" t="s">
        <v>153</v>
      </c>
    </row>
    <row r="19" customFormat="false" ht="15" hidden="false" customHeight="true" outlineLevel="0" collapsed="false">
      <c r="A19" s="3" t="s">
        <v>154</v>
      </c>
    </row>
    <row r="20" customFormat="false" ht="15" hidden="false" customHeight="true" outlineLevel="0" collapsed="false">
      <c r="A20" s="3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2026-10-19T17:15:44Z</dcterms:created>
  <dc:creator>openpyxl</dc:creator>
  <dc:description/>
  <dc:language>en-US</dc:language>
  <cp:lastModifiedBy/>
  <dcterms:modified xsi:type="dcterms:W3CDTF">2026-10-19T19:25:31Z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