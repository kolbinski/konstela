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ałożenia" sheetId="1" state="visible" r:id="rId1"/>
    <sheet xmlns:r="http://schemas.openxmlformats.org/officeDocument/2006/relationships" name="Praca" sheetId="2" state="visible" r:id="rId2"/>
    <sheet xmlns:r="http://schemas.openxmlformats.org/officeDocument/2006/relationships" name="Koszty" sheetId="3" state="visible" r:id="rId3"/>
    <sheet xmlns:r="http://schemas.openxmlformats.org/officeDocument/2006/relationships" name="Wnioski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&quot; zł&quot;"/>
    <numFmt numFmtId="165" formatCode="0.0%"/>
    <numFmt numFmtId="166" formatCode="#,##0&quot; h&quot;"/>
    <numFmt numFmtId="167" formatCode="0.0&quot; h&quot;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</fonts>
  <fills count="6">
    <fill>
      <patternFill/>
    </fill>
    <fill>
      <patternFill patternType="gray125"/>
    </fill>
    <fill>
      <patternFill patternType="solid">
        <fgColor rgb="FFEFEAE0"/>
        <bgColor rgb="FFEAF2E6"/>
      </patternFill>
    </fill>
    <fill>
      <patternFill patternType="solid">
        <fgColor rgb="FFFFFF99"/>
        <bgColor rgb="FFEAF2E6"/>
      </patternFill>
    </fill>
    <fill>
      <patternFill patternType="solid">
        <fgColor rgb="FFE6EEF7"/>
        <bgColor rgb="FFEAF2E6"/>
      </patternFill>
    </fill>
    <fill>
      <patternFill patternType="solid">
        <fgColor rgb="FFEAF2E6"/>
        <bgColor rgb="FFE6EE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" fontId="8" fillId="3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8" fillId="3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166" fontId="0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" fontId="8" fillId="3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8" fillId="3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166" fontId="0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AF2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FEAE0"/>
      <rgbColor rgb="FFE6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0" min="1" max="1"/>
    <col width="16" customWidth="1" style="30" min="2" max="2"/>
    <col width="66" customWidth="1" style="30" min="3" max="3"/>
  </cols>
  <sheetData>
    <row r="1" ht="17.25" customHeight="1" s="31">
      <c r="A1" s="32" t="inlineStr">
        <is>
          <t>Nagroda Konstela - budżet edycji pierwszej, dwóch sponsorów</t>
        </is>
      </c>
    </row>
    <row r="2" ht="15" customHeight="1" s="31">
      <c r="A2" s="33" t="inlineStr">
        <is>
          <t>Edytuj wyłącznie żółte komórki. Blok A to fundator nagrody i gali, blok B partner wydawniczy, blok C sponsor plebiscytu.</t>
        </is>
      </c>
    </row>
    <row r="3" ht="15" customHeight="1" s="31">
      <c r="A3" s="33" t="inlineStr">
        <is>
          <t>Konwencja: wszystkie kwoty są NETTO, chyba że etykieta mówi inaczej. Nagrody podane są BRUTTO, czyli przed potrąceniem 10% podatku.</t>
        </is>
      </c>
    </row>
    <row r="4" ht="15" customHeight="1" s="31">
      <c r="A4" s="34" t="inlineStr">
        <is>
          <t>DŹWIGNIE</t>
        </is>
      </c>
      <c r="B4" s="35" t="n"/>
      <c r="C4" s="35" t="n"/>
    </row>
    <row r="5" ht="15" customHeight="1" s="31">
      <c r="A5" s="36" t="inlineStr">
        <is>
          <t>Liczba zgłoszeń po ocenie formalnej</t>
        </is>
      </c>
      <c r="B5" s="37" t="n">
        <v>150</v>
      </c>
      <c r="C5" s="38" t="inlineStr">
        <is>
          <t>Wpływa na ocenę formalną i korespondencję. Reszta pracy jest kosztem stałym.</t>
        </is>
      </c>
    </row>
    <row r="6" ht="15" customHeight="1" s="31">
      <c r="A6" s="36" t="inlineStr">
        <is>
          <t>Stawka godzinowa organizatora (netto)</t>
        </is>
      </c>
      <c r="B6" s="39" t="n">
        <v>220</v>
      </c>
      <c r="C6" s="38" t="inlineStr">
        <is>
          <t>Twoja stawka rynkowa; podstawa wyceny pracy w obu blokach.</t>
        </is>
      </c>
    </row>
    <row r="7" ht="15" customHeight="1" s="31">
      <c r="A7" s="36" t="inlineStr">
        <is>
          <t>Nagroda główna (brutto, przed podatkiem 10%)</t>
        </is>
      </c>
      <c r="B7" s="39" t="n">
        <v>300000</v>
      </c>
      <c r="C7" s="38" t="inlineStr">
        <is>
          <t>Nike 1997 = 100 tys.; wg indeksu cen ok. 315 tys. w 2026 (Eurostat/FRED).</t>
        </is>
      </c>
    </row>
    <row r="8" ht="15" customHeight="1" s="31">
      <c r="A8" s="36" t="inlineStr">
        <is>
          <t>Nagroda dla pozostałych finalistów (brutto)</t>
        </is>
      </c>
      <c r="B8" s="39" t="n">
        <v>10000</v>
      </c>
      <c r="C8" s="38" t="inlineStr">
        <is>
          <t>Dziewięć osób z dziesiątki antologii.</t>
        </is>
      </c>
    </row>
    <row r="9" ht="15" customHeight="1" s="31">
      <c r="A9" s="36" t="inlineStr">
        <is>
          <t>Liczba pozostałych finalistów</t>
        </is>
      </c>
      <c r="B9" s="37" t="n">
        <v>9</v>
      </c>
      <c r="C9" s="38" t="inlineStr">
        <is>
          <t>Dziesiątka minus laureat.</t>
        </is>
      </c>
    </row>
    <row r="10" ht="15" customHeight="1" s="31">
      <c r="A10" s="36" t="inlineStr">
        <is>
          <t>Rezerwa w bloku A</t>
        </is>
      </c>
      <c r="B10" s="40" t="n">
        <v>0.12</v>
      </c>
      <c r="C10" s="38" t="inlineStr">
        <is>
          <t>Narzut na nieprzewidziane po stronie nagrody i gali.</t>
        </is>
      </c>
    </row>
    <row r="11" ht="15" customHeight="1" s="31">
      <c r="A11" s="36" t="inlineStr">
        <is>
          <t>Marża w bloku B</t>
        </is>
      </c>
      <c r="B11" s="40" t="n">
        <v>0.3</v>
      </c>
      <c r="C11" s="38" t="inlineStr">
        <is>
          <t>Narzut partnera wydawniczego, zgodnie z Twoim założeniem.</t>
        </is>
      </c>
    </row>
    <row r="12" ht="15" customHeight="1" s="31">
      <c r="A12" s="36" t="inlineStr">
        <is>
          <t>Podatek liniowy</t>
        </is>
      </c>
      <c r="B12" s="40" t="n">
        <v>0.19</v>
      </c>
      <c r="C12" s="38" t="inlineStr">
        <is>
          <t>Do weryfikacji z księgowym.</t>
        </is>
      </c>
    </row>
    <row r="13" ht="15" customHeight="1" s="31">
      <c r="A13" s="36" t="inlineStr">
        <is>
          <t>Składka zdrowotna</t>
        </is>
      </c>
      <c r="B13" s="40" t="n">
        <v>0.049</v>
      </c>
      <c r="C13" s="38" t="inlineStr">
        <is>
          <t>Do weryfikacji z księgowym.</t>
        </is>
      </c>
    </row>
    <row r="14" ht="15" customHeight="1" s="31">
      <c r="A14" s="36" t="inlineStr">
        <is>
          <t>Podatek od nagród (ryczałt)</t>
        </is>
      </c>
      <c r="B14" s="40" t="n">
        <v>0.1</v>
      </c>
      <c r="C14" s="38" t="inlineStr">
        <is>
          <t>Art. 30 ust. 1 pkt 2 ustawy o PIT; potrącany przy wypłacie.</t>
        </is>
      </c>
    </row>
    <row r="15" ht="15" customHeight="1" s="31">
      <c r="A15" s="41" t="inlineStr">
        <is>
          <t>Stawka VAT</t>
        </is>
      </c>
      <c r="B15" s="42" t="n">
        <v>0.23</v>
      </c>
      <c r="C15" s="33" t="inlineStr">
        <is>
          <t>Dotyczy faktur wystawianych sponsorom. Jeśli nie jesteś czynnym podatnikiem VAT, wpisz 0%.</t>
        </is>
      </c>
    </row>
    <row r="16">
      <c r="A16" s="30" t="inlineStr">
        <is>
          <t>DŹWIGNIE BLOKU C - PLEBISCYT</t>
        </is>
      </c>
    </row>
    <row r="17" ht="15" customHeight="1" s="31">
      <c r="A17" s="30" t="inlineStr">
        <is>
          <t>Liczba zgłoszeń plebiscytu</t>
        </is>
      </c>
      <c r="B17" s="30" t="n">
        <v>150</v>
      </c>
      <c r="C17" s="30" t="inlineStr">
        <is>
          <t>Wpływa na kontrolę formalną zgłoszeń. Do potwierdzenia.</t>
        </is>
      </c>
    </row>
    <row r="18" ht="15" customHeight="1" s="31">
      <c r="A18" s="30" t="inlineStr">
        <is>
          <t>Nagrody plebiscytu łącznie (brutto)</t>
        </is>
      </c>
      <c r="B18" s="30" t="n">
        <v>35000</v>
      </c>
      <c r="C18" s="30" t="inlineStr">
        <is>
          <t>20 tys. + 10 tys. + 5 tys. dla czołowej trójki.</t>
        </is>
      </c>
    </row>
    <row r="19">
      <c r="A19" s="30" t="inlineStr">
        <is>
          <t>Nagrody publiczności łącznie (brutto)</t>
        </is>
      </c>
      <c r="B19" s="30" t="n">
        <v>4000</v>
      </c>
      <c r="C19" s="30" t="inlineStr">
        <is>
          <t>3 tys. dla wykonawcy, 1 tys. za uzasadnienie. Propozycja, do potwierdzenia.</t>
        </is>
      </c>
    </row>
    <row r="20">
      <c r="A20" s="30" t="inlineStr">
        <is>
          <t>Nagranie studyjne - koszt za utwór (netto)</t>
        </is>
      </c>
      <c r="B20" s="30" t="n">
        <v>7500</v>
      </c>
      <c r="C20" s="30" t="inlineStr">
        <is>
          <t>Środek widełek 5-10 tys. Do wyceny przez Michała Sołtana.</t>
        </is>
      </c>
    </row>
    <row r="21">
      <c r="A21" s="30" t="inlineStr">
        <is>
          <t>Liczba nagrań studyjnych</t>
        </is>
      </c>
      <c r="B21" s="30" t="n">
        <v>10</v>
      </c>
      <c r="C21" s="30" t="inlineStr">
        <is>
          <t>Dziesięciu finalistów; te nagrania trafiają na płytę.</t>
        </is>
      </c>
    </row>
    <row r="22">
      <c r="A22" s="30" t="inlineStr">
        <is>
          <t>Hymn z teledyskiem (netto)</t>
        </is>
      </c>
      <c r="B22" s="30" t="n">
        <v>80000</v>
      </c>
      <c r="C22" s="30" t="inlineStr">
        <is>
          <t>Środek widełek 60-100 tys. Górny koniec przy szerszym składzie wykonawców.</t>
        </is>
      </c>
    </row>
    <row r="23">
      <c r="A23" s="30" t="inlineStr">
        <is>
          <t>Statuetki i dyplomy plebiscytu (netto)</t>
        </is>
      </c>
      <c r="B23" s="30" t="n">
        <v>3000</v>
      </c>
      <c r="C23" s="30" t="inlineStr">
        <is>
          <t>Propozycja, do potwierdzenia.</t>
        </is>
      </c>
    </row>
    <row r="24">
      <c r="A24" s="30" t="inlineStr">
        <is>
          <t>Rezerwa w bloku C</t>
        </is>
      </c>
      <c r="B24" s="30" t="n">
        <v>0.12</v>
      </c>
      <c r="C24" s="30" t="inlineStr">
        <is>
          <t>Narzut na nieprzewidziane, jak w bloku A.</t>
        </is>
      </c>
    </row>
    <row r="26">
      <c r="A26" s="33" t="inlineStr">
        <is>
          <t>Jeżeli nie jesteś czynnym podatnikiem VAT, koszty twarde wpisuj w kwotach brutto,</t>
        </is>
      </c>
    </row>
    <row r="27">
      <c r="A27" s="33" t="inlineStr">
        <is>
          <t>bo nie odliczysz od nich podatku, a wtedy są dla Ciebie kosztem w pełnej wysokości.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30" min="1" max="1"/>
    <col width="9" customWidth="1" style="30" min="2" max="2"/>
    <col width="11" customWidth="1" style="30" min="3" max="3"/>
    <col width="13" customWidth="1" style="30" min="4" max="5"/>
  </cols>
  <sheetData>
    <row r="1" ht="17.25" customHeight="1" s="31">
      <c r="A1" s="32" t="inlineStr">
        <is>
          <t>Nakład pracy organizatora z przypisaniem do bloku</t>
        </is>
      </c>
    </row>
    <row r="2" ht="15" customHeight="1" s="31">
      <c r="A2" s="33" t="inlineStr">
        <is>
          <t>Blok A = nagroda i gala (fundator puli). Blok B = antologia i archiwum (partner wydawniczy). Blok C = plebiscyt na piosenkę (sponsor plebiscytu).</t>
        </is>
      </c>
    </row>
    <row r="3" ht="15" customHeight="1" s="31">
      <c r="A3" s="33" t="inlineStr">
        <is>
          <t>Wycena godzin liczona jest po stawce netto z arkusza Założenia.</t>
        </is>
      </c>
    </row>
    <row r="4" ht="15" customHeight="1" s="31">
      <c r="A4" s="43" t="inlineStr">
        <is>
          <t>Pozycja</t>
        </is>
      </c>
      <c r="B4" s="43" t="inlineStr">
        <is>
          <t>Blok</t>
        </is>
      </c>
      <c r="C4" s="43" t="inlineStr">
        <is>
          <t>Stałe (h)</t>
        </is>
      </c>
      <c r="D4" s="43" t="inlineStr">
        <is>
          <t>Na zgł. (min)</t>
        </is>
      </c>
      <c r="E4" s="43" t="inlineStr">
        <is>
          <t>Razem (h)</t>
        </is>
      </c>
    </row>
    <row r="5" ht="15" customHeight="1" s="31">
      <c r="A5" s="36" t="inlineStr">
        <is>
          <t>Rekrutacja Kapituły i Akademii, korespondencja</t>
        </is>
      </c>
      <c r="B5" s="44" t="inlineStr">
        <is>
          <t>A</t>
        </is>
      </c>
      <c r="C5" s="37" t="n">
        <v>60</v>
      </c>
      <c r="D5" s="37" t="n">
        <v>0</v>
      </c>
      <c r="E5" s="45">
        <f>C5+D5*Założenia!$B$5/60</f>
        <v/>
      </c>
      <c r="F5" s="33" t="inlineStr">
        <is>
          <t>15 czytelników, 3-5 jurorów, lista rezerwowa</t>
        </is>
      </c>
    </row>
    <row r="6" ht="15" customHeight="1" s="31">
      <c r="A6" s="36" t="inlineStr">
        <is>
          <t>Próba kalibracyjna i dwie powtórki kotwic</t>
        </is>
      </c>
      <c r="B6" s="44" t="inlineStr">
        <is>
          <t>A</t>
        </is>
      </c>
      <c r="C6" s="37" t="n">
        <v>24</v>
      </c>
      <c r="D6" s="37" t="n">
        <v>0</v>
      </c>
      <c r="E6" s="45">
        <f>C6+D6*Założenia!$B$5/60</f>
        <v/>
      </c>
      <c r="F6" s="33" t="inlineStr">
        <is>
          <t>3 rozmowy spoza edycji</t>
        </is>
      </c>
    </row>
    <row r="7" ht="15" customHeight="1" s="31">
      <c r="A7" s="36" t="inlineStr">
        <is>
          <t>Obsługa panelu oceny, przydziały, przypomnienia</t>
        </is>
      </c>
      <c r="B7" s="44" t="inlineStr">
        <is>
          <t>A</t>
        </is>
      </c>
      <c r="C7" s="37" t="n">
        <v>50</v>
      </c>
      <c r="D7" s="37" t="n">
        <v>0</v>
      </c>
      <c r="E7" s="45">
        <f>C7+D7*Założenia!$B$5/60</f>
        <v/>
      </c>
      <c r="F7" s="33" t="inlineStr">
        <is>
          <t>rozłożone na 12 miesięcy naboru</t>
        </is>
      </c>
    </row>
    <row r="8" ht="15" customHeight="1" s="31">
      <c r="A8" s="36" t="inlineStr">
        <is>
          <t>Archiwizacja i ocena formalna</t>
        </is>
      </c>
      <c r="B8" s="44" t="inlineStr">
        <is>
          <t>A</t>
        </is>
      </c>
      <c r="C8" s="37" t="n">
        <v>8</v>
      </c>
      <c r="D8" s="37" t="n">
        <v>6</v>
      </c>
      <c r="E8" s="45">
        <f>C8+D8*Założenia!$B$5/60</f>
        <v/>
      </c>
      <c r="F8" s="33" t="inlineStr">
        <is>
          <t>skrypt plus obsługa wyjątków</t>
        </is>
      </c>
    </row>
    <row r="9" ht="15" customHeight="1" s="31">
      <c r="A9" s="36" t="inlineStr">
        <is>
          <t>Korespondencja z uczestnikami</t>
        </is>
      </c>
      <c r="B9" s="44" t="inlineStr">
        <is>
          <t>A</t>
        </is>
      </c>
      <c r="C9" s="37" t="n">
        <v>10</v>
      </c>
      <c r="D9" s="37" t="n">
        <v>4</v>
      </c>
      <c r="E9" s="45">
        <f>C9+D9*Założenia!$B$5/60</f>
        <v/>
      </c>
      <c r="F9" s="33" t="inlineStr">
        <is>
          <t>potwierdzenia, kopie archiwalne, pytania</t>
        </is>
      </c>
    </row>
    <row r="10" ht="15" customHeight="1" s="31">
      <c r="A10" s="36" t="inlineStr">
        <is>
          <t>Postępowania szczególne</t>
        </is>
      </c>
      <c r="B10" s="44" t="inlineStr">
        <is>
          <t>A</t>
        </is>
      </c>
      <c r="C10" s="37" t="n">
        <v>20</v>
      </c>
      <c r="D10" s="37" t="n">
        <v>0</v>
      </c>
      <c r="E10" s="45">
        <f>C10+D10*Założenia!$B$5/60</f>
        <v/>
      </c>
      <c r="F10" s="33" t="inlineStr">
        <is>
          <t>inscenizacja, treści trudne, odmowy publikacji</t>
        </is>
      </c>
    </row>
    <row r="11" ht="15" customHeight="1" s="31">
      <c r="A11" s="36" t="inlineStr">
        <is>
          <t>Koordynacja rundy drugiej z Kapitułą</t>
        </is>
      </c>
      <c r="B11" s="44" t="inlineStr">
        <is>
          <t>A</t>
        </is>
      </c>
      <c r="C11" s="37" t="n">
        <v>40</v>
      </c>
      <c r="D11" s="37" t="n">
        <v>0</v>
      </c>
      <c r="E11" s="45">
        <f>C11+D11*Założenia!$B$5/60</f>
        <v/>
      </c>
      <c r="F11" s="33" t="inlineStr">
        <is>
          <t>spotkania, protokoły, rozbieżności</t>
        </is>
      </c>
    </row>
    <row r="12" ht="15" customHeight="1" s="31">
      <c r="A12" s="36" t="inlineStr">
        <is>
          <t>Rozmowy weryfikacyjne (10 finalistów)</t>
        </is>
      </c>
      <c r="B12" s="44" t="inlineStr">
        <is>
          <t>A</t>
        </is>
      </c>
      <c r="C12" s="37" t="n">
        <v>25</v>
      </c>
      <c r="D12" s="37" t="n">
        <v>0</v>
      </c>
      <c r="E12" s="45">
        <f>C12+D12*Założenia!$B$5/60</f>
        <v/>
      </c>
      <c r="F12" s="33" t="inlineStr">
        <is>
          <t>prowadzi Organizator osobiście</t>
        </is>
      </c>
    </row>
    <row r="13" ht="15" customHeight="1" s="31">
      <c r="A13" s="36" t="inlineStr">
        <is>
          <t>Gala: organizacja, zdjęcia, wysyłki</t>
        </is>
      </c>
      <c r="B13" s="44" t="inlineStr">
        <is>
          <t>A</t>
        </is>
      </c>
      <c r="C13" s="37" t="n">
        <v>45</v>
      </c>
      <c r="D13" s="37" t="n">
        <v>0</v>
      </c>
      <c r="E13" s="45">
        <f>C13+D13*Założenia!$B$5/60</f>
        <v/>
      </c>
      <c r="F13" s="33" t="inlineStr">
        <is>
          <t>z koordynatorem po stronie B jest mniej</t>
        </is>
      </c>
    </row>
    <row r="14" ht="15" customHeight="1" s="31">
      <c r="A14" s="36" t="inlineStr">
        <is>
          <t>Rozliczenia, podatki, sprawozdanie dla sponsorów</t>
        </is>
      </c>
      <c r="B14" s="44" t="inlineStr">
        <is>
          <t>A</t>
        </is>
      </c>
      <c r="C14" s="37" t="n">
        <v>25</v>
      </c>
      <c r="D14" s="37" t="n">
        <v>0</v>
      </c>
      <c r="E14" s="45">
        <f>C14+D14*Założenia!$B$5/60</f>
        <v/>
      </c>
      <c r="F14" s="33" t="inlineStr">
        <is>
          <t>z księgowym</t>
        </is>
      </c>
    </row>
    <row r="15" ht="15" customHeight="1" s="31">
      <c r="A15" s="36" t="inlineStr">
        <is>
          <t>Komunikacja, media, strona</t>
        </is>
      </c>
      <c r="B15" s="44" t="inlineStr">
        <is>
          <t>A</t>
        </is>
      </c>
      <c r="C15" s="37" t="n">
        <v>40</v>
      </c>
      <c r="D15" s="37" t="n">
        <v>0</v>
      </c>
      <c r="E15" s="45">
        <f>C15+D15*Założenia!$B$5/60</f>
        <v/>
      </c>
      <c r="F15" s="33" t="inlineStr">
        <is>
          <t>przez cały rok</t>
        </is>
      </c>
    </row>
    <row r="16" ht="15" customHeight="1" s="31">
      <c r="A16" s="36" t="inlineStr">
        <is>
          <t>Antologia: redakcja not Kapituły i uzupełnienia</t>
        </is>
      </c>
      <c r="B16" s="44" t="inlineStr">
        <is>
          <t>B</t>
        </is>
      </c>
      <c r="C16" s="37" t="n">
        <v>45</v>
      </c>
      <c r="D16" s="37" t="n">
        <v>0</v>
      </c>
      <c r="E16" s="45">
        <f>C16+D16*Założenia!$B$5/60</f>
        <v/>
      </c>
      <c r="F16" s="33" t="inlineStr">
        <is>
          <t>noty pisze Kapituła (§ 8 ust. 13a)</t>
        </is>
      </c>
    </row>
    <row r="17" ht="15" customHeight="1" s="31">
      <c r="A17" s="36" t="inlineStr">
        <is>
          <t>Skład, korekta autorska, EPUB i PDF</t>
        </is>
      </c>
      <c r="B17" s="44" t="inlineStr">
        <is>
          <t>B</t>
        </is>
      </c>
      <c r="C17" s="37" t="n">
        <v>40</v>
      </c>
      <c r="D17" s="37" t="n">
        <v>0</v>
      </c>
      <c r="E17" s="45">
        <f>C17+D17*Założenia!$B$5/60</f>
        <v/>
      </c>
      <c r="F17" s="33" t="inlineStr">
        <is>
          <t>szablon przygotowany w styczniu</t>
        </is>
      </c>
    </row>
    <row r="18" ht="15" customHeight="1" s="31">
      <c r="A18" s="36" t="inlineStr">
        <is>
          <t>Archiwum: publikacja porcjami przez rok</t>
        </is>
      </c>
      <c r="B18" s="44" t="inlineStr">
        <is>
          <t>B</t>
        </is>
      </c>
      <c r="C18" s="37" t="n">
        <v>30</v>
      </c>
      <c r="D18" s="37" t="n">
        <v>0</v>
      </c>
      <c r="E18" s="45">
        <f>C18+D18*Założenia!$B$5/60</f>
        <v/>
      </c>
      <c r="F18" s="33" t="inlineStr">
        <is>
          <t>jedna rozmowa na dwa tygodnie</t>
        </is>
      </c>
    </row>
    <row r="19" ht="15" customHeight="1" s="31">
      <c r="A19" s="36" t="inlineStr">
        <is>
          <t>Skraper i kopia archiwalna zgłoszenia</t>
        </is>
      </c>
      <c r="B19" s="44" t="inlineStr">
        <is>
          <t>B</t>
        </is>
      </c>
      <c r="C19" s="37" t="n">
        <v>50</v>
      </c>
      <c r="D19" s="37" t="n">
        <v>0</v>
      </c>
      <c r="E19" s="45">
        <f>C19+D19*Założenia!$B$5/60</f>
        <v/>
      </c>
      <c r="F19" s="33" t="inlineStr">
        <is>
          <t>Playwright: PDF, pełny HTML, zrzut, znacznik czasu, suma kontrolna</t>
        </is>
      </c>
    </row>
    <row r="20" ht="15" customHeight="1" s="31">
      <c r="A20" s="36" t="inlineStr">
        <is>
          <t>Narzędzie do oceny formalnej</t>
        </is>
      </c>
      <c r="B20" s="44" t="inlineStr">
        <is>
          <t>B</t>
        </is>
      </c>
      <c r="C20" s="37" t="n">
        <v>25</v>
      </c>
      <c r="D20" s="37" t="n">
        <v>0</v>
      </c>
      <c r="E20" s="45">
        <f>C20+D20*Założenia!$B$5/60</f>
        <v/>
      </c>
      <c r="F20" s="33" t="inlineStr">
        <is>
          <t>liczenie słów i wypowiedzi, wykluczanie kodu, język, ciągłość wątku</t>
        </is>
      </c>
    </row>
    <row r="21" ht="15" customHeight="1" s="31">
      <c r="A21" s="36" t="inlineStr">
        <is>
          <t>Panel oceny dla Akademii i Kapituły</t>
        </is>
      </c>
      <c r="B21" s="44" t="inlineStr">
        <is>
          <t>B</t>
        </is>
      </c>
      <c r="C21" s="37" t="n">
        <v>160</v>
      </c>
      <c r="D21" s="37" t="n">
        <v>0</v>
      </c>
      <c r="E21" s="45">
        <f>C21+D21*Założenia!$B$5/60</f>
        <v/>
      </c>
      <c r="F21" s="33" t="inlineStr">
        <is>
          <t>konta, przydziały, karta oceny, rozbieżności, trzeci odczyt, ślad audytowy</t>
        </is>
      </c>
    </row>
    <row r="22" ht="15" customHeight="1" s="31">
      <c r="A22" s="36" t="inlineStr">
        <is>
          <t>Publiczne archiwum rozmów na stronie</t>
        </is>
      </c>
      <c r="B22" s="44" t="inlineStr">
        <is>
          <t>B</t>
        </is>
      </c>
      <c r="C22" s="37" t="n">
        <v>50</v>
      </c>
      <c r="D22" s="37" t="n">
        <v>0</v>
      </c>
      <c r="E22" s="45">
        <f>C22+D22*Założenia!$B$5/60</f>
        <v/>
      </c>
      <c r="F22" s="33" t="inlineStr">
        <is>
          <t>generowanie stron z kopii, nawigacja, tryb redakcji fragmentów</t>
        </is>
      </c>
    </row>
    <row r="23" ht="15" customHeight="1" s="31">
      <c r="A23" s="30" t="inlineStr">
        <is>
          <t>Kontrola formalna zgłoszeń plebiscytu</t>
        </is>
      </c>
      <c r="B23" s="30" t="inlineStr">
        <is>
          <t>C</t>
        </is>
      </c>
      <c r="C23" s="30" t="n">
        <v>0</v>
      </c>
      <c r="D23" s="30" t="n">
        <v>10</v>
      </c>
      <c r="E23" s="30">
        <f>C23+D23*Założenia!$B$17/60</f>
        <v/>
      </c>
      <c r="F23" s="30" t="inlineStr">
        <is>
          <t>10 minut na zgłoszenie; przy dużych liczbach część kontroli automatyzowana.</t>
        </is>
      </c>
    </row>
    <row r="24">
      <c r="A24" s="30" t="inlineStr">
        <is>
          <t>Koordynacja nagrań studyjnych dziesięciu finalistów</t>
        </is>
      </c>
      <c r="B24" s="30" t="inlineStr">
        <is>
          <t>C</t>
        </is>
      </c>
      <c r="C24" s="30" t="n">
        <v>40</v>
      </c>
      <c r="D24" s="30" t="n">
        <v>0</v>
      </c>
      <c r="E24" s="30">
        <f>C24+D24*Założenia!$B$17/60</f>
        <v/>
      </c>
      <c r="F24" s="30" t="inlineStr">
        <is>
          <t>umowy, terminy w studiu, przekazanie praw autorom</t>
        </is>
      </c>
    </row>
    <row r="25" ht="15" customHeight="1" s="31">
      <c r="A25" s="30" t="inlineStr">
        <is>
          <t>Obsługa jury plebiscytu: przydziały, obrady, werdykt</t>
        </is>
      </c>
      <c r="B25" s="30" t="inlineStr">
        <is>
          <t>C</t>
        </is>
      </c>
      <c r="C25" s="30" t="n">
        <v>30</v>
      </c>
      <c r="D25" s="30" t="n">
        <v>0</v>
      </c>
      <c r="E25" s="30">
        <f>C25+D25*Założenia!$B$17/60</f>
        <v/>
      </c>
      <c r="F25" s="30" t="inlineStr">
        <is>
          <t>w tym preselekcja powyżej progu</t>
        </is>
      </c>
    </row>
    <row r="26" ht="15" customHeight="1" s="31">
      <c r="A26" s="30" t="inlineStr">
        <is>
          <t>Obsługa głosowania publiczności i ogłoszenie wyniku</t>
        </is>
      </c>
      <c r="B26" s="30" t="inlineStr">
        <is>
          <t>C</t>
        </is>
      </c>
      <c r="C26" s="30" t="n">
        <v>20</v>
      </c>
      <c r="D26" s="30" t="n">
        <v>0</v>
      </c>
      <c r="E26" s="30">
        <f>C26+D26*Założenia!$B$17/60</f>
        <v/>
      </c>
      <c r="F26" s="30" t="inlineStr">
        <is>
          <t>bramka SMS, ukryte liczniki, ogłoszenie na gali</t>
        </is>
      </c>
    </row>
    <row r="27" ht="15" customHeight="1" s="31">
      <c r="A27" s="30" t="inlineStr">
        <is>
          <t>Komunikacja plebiscytu i dotarcie do wykonawców</t>
        </is>
      </c>
      <c r="B27" s="30" t="inlineStr">
        <is>
          <t>C</t>
        </is>
      </c>
      <c r="C27" s="30" t="n">
        <v>50</v>
      </c>
      <c r="D27" s="30" t="n">
        <v>0</v>
      </c>
      <c r="E27" s="30">
        <f>C27+D27*Założenia!$B$17/60</f>
        <v/>
      </c>
      <c r="F27" s="30" t="inlineStr">
        <is>
          <t>grupy muzyków, szkoły muzyczne, scena coverowa, radia</t>
        </is>
      </c>
    </row>
    <row r="28" ht="15" customHeight="1" s="31">
      <c r="A28" s="33" t="n"/>
      <c r="E28" s="46" t="n"/>
    </row>
    <row r="30" ht="15" customHeight="1" s="31">
      <c r="A30" s="36" t="inlineStr">
        <is>
          <t>Godziny blok A</t>
        </is>
      </c>
      <c r="E30" s="45">
        <f>SUMIF($B$5:$B$27,"A",$E$5:$E$27)</f>
        <v/>
      </c>
    </row>
    <row r="31">
      <c r="A31" s="36" t="inlineStr">
        <is>
          <t>Godziny blok B</t>
        </is>
      </c>
      <c r="E31" s="45">
        <f>SUMIF($B$5:$B$27,"B",$E$5:$E$27)</f>
        <v/>
      </c>
    </row>
    <row r="32">
      <c r="A32" s="36" t="inlineStr">
        <is>
          <t>Godziny blok C</t>
        </is>
      </c>
      <c r="E32" s="45">
        <f>SUMIF($B$5:$B$27,"C",$E$5:$E$27)</f>
        <v/>
      </c>
    </row>
    <row r="33">
      <c r="A33" s="33" t="inlineStr">
        <is>
          <t>RAZEM</t>
        </is>
      </c>
      <c r="E33" s="46">
        <f>E30+E31+E32</f>
        <v/>
      </c>
    </row>
    <row r="34">
      <c r="A34" s="30" t="inlineStr">
        <is>
          <t>tygodniowo przez rok</t>
        </is>
      </c>
      <c r="E34" s="30">
        <f>E33/52</f>
        <v/>
      </c>
    </row>
    <row r="35">
      <c r="A35" s="30" t="inlineStr">
        <is>
          <t>Fundraising (spotkania, pisma, odmowy) nie jest tu ujęty: 50-100 h przed jakąkolwiek umową.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30" min="1" max="1"/>
    <col width="9" customWidth="1" style="30" min="2" max="2"/>
    <col width="13" customWidth="1" style="30" min="3" max="3"/>
    <col width="11" customWidth="1" style="30" min="4" max="4"/>
    <col width="13" customWidth="1" style="30" min="5" max="5"/>
  </cols>
  <sheetData>
    <row r="1" ht="17.25" customHeight="1" s="31">
      <c r="A1" s="32" t="inlineStr">
        <is>
          <t>Koszty twarde z przypisaniem do bloku</t>
        </is>
      </c>
    </row>
    <row r="2" ht="15" customHeight="1" s="31">
      <c r="A2" s="33" t="inlineStr">
        <is>
          <t>Wydatki pieniężne, poza pracą organizatora.</t>
        </is>
      </c>
    </row>
    <row r="3" ht="15" customHeight="1" s="31">
      <c r="A3" s="33" t="inlineStr">
        <is>
          <t>Kwoty netto. Pozycje bez VAT (np. opłaty urzędowe) wpisuj tak samo - różnicę zobaczysz w arkuszu Wnioski.</t>
        </is>
      </c>
    </row>
    <row r="4" ht="15" customHeight="1" s="31">
      <c r="A4" s="43" t="inlineStr">
        <is>
          <t>Pozycja</t>
        </is>
      </c>
      <c r="B4" s="43" t="inlineStr">
        <is>
          <t>Blok</t>
        </is>
      </c>
      <c r="C4" s="43" t="inlineStr">
        <is>
          <t>Jednostkowo (netto)</t>
        </is>
      </c>
      <c r="D4" s="43" t="inlineStr">
        <is>
          <t>Ilość</t>
        </is>
      </c>
      <c r="E4" s="43" t="inlineStr">
        <is>
          <t>Razem (netto)</t>
        </is>
      </c>
    </row>
    <row r="5" ht="15" customHeight="1" s="31">
      <c r="A5" s="36" t="inlineStr">
        <is>
          <t>Gala: sala, obsługa, poczęstunek</t>
        </is>
      </c>
      <c r="B5" s="44" t="inlineStr">
        <is>
          <t>A</t>
        </is>
      </c>
      <c r="C5" s="39" t="n">
        <v>8000</v>
      </c>
      <c r="D5" s="37" t="n">
        <v>1</v>
      </c>
      <c r="E5" s="47">
        <f>C5*D5</f>
        <v/>
      </c>
      <c r="F5" s="33" t="inlineStr">
        <is>
          <t>do negocjacji z patronem instytucjonalnym</t>
        </is>
      </c>
    </row>
    <row r="6" ht="15" customHeight="1" s="31">
      <c r="A6" s="36" t="inlineStr">
        <is>
          <t>Fotograf na gali</t>
        </is>
      </c>
      <c r="B6" s="44" t="inlineStr">
        <is>
          <t>A</t>
        </is>
      </c>
      <c r="C6" s="39" t="n">
        <v>1500</v>
      </c>
      <c r="D6" s="37" t="n">
        <v>1</v>
      </c>
      <c r="E6" s="47">
        <f>C6*D6</f>
        <v/>
      </c>
      <c r="F6" s="33" t="inlineStr">
        <is>
          <t>zdjęcie grupowe i dokumentacja</t>
        </is>
      </c>
    </row>
    <row r="7" ht="15" customHeight="1" s="31">
      <c r="A7" s="36" t="inlineStr">
        <is>
          <t>Medal laureata i dyplomy</t>
        </is>
      </c>
      <c r="B7" s="44" t="inlineStr">
        <is>
          <t>A</t>
        </is>
      </c>
      <c r="C7" s="39" t="n">
        <v>1200</v>
      </c>
      <c r="D7" s="37" t="n">
        <v>1</v>
      </c>
      <c r="E7" s="47">
        <f>C7*D7</f>
        <v/>
      </c>
      <c r="F7" s="33" t="inlineStr">
        <is>
          <t>mosiądz grawerowany, 10 dyplomów</t>
        </is>
      </c>
    </row>
    <row r="8" ht="15" customHeight="1" s="31">
      <c r="A8" s="36" t="inlineStr">
        <is>
          <t>Przejazdy i noclegi Kapituły</t>
        </is>
      </c>
      <c r="B8" s="44" t="inlineStr">
        <is>
          <t>A</t>
        </is>
      </c>
      <c r="C8" s="39" t="n">
        <v>4000</v>
      </c>
      <c r="D8" s="37" t="n">
        <v>1</v>
      </c>
      <c r="E8" s="47">
        <f>C8*D8</f>
        <v/>
      </c>
      <c r="F8" s="33" t="inlineStr">
        <is>
          <t>zwrot kosztów</t>
        </is>
      </c>
    </row>
    <row r="9" ht="15" customHeight="1" s="31">
      <c r="A9" s="36" t="inlineStr">
        <is>
          <t>Obsługa księgowa projektu</t>
        </is>
      </c>
      <c r="B9" s="44" t="inlineStr">
        <is>
          <t>A</t>
        </is>
      </c>
      <c r="C9" s="39" t="n">
        <v>1500</v>
      </c>
      <c r="D9" s="37" t="n">
        <v>1</v>
      </c>
      <c r="E9" s="47">
        <f>C9*D9</f>
        <v/>
      </c>
      <c r="F9" s="33" t="inlineStr">
        <is>
          <t>ponad bieżącą obsługę działalności</t>
        </is>
      </c>
    </row>
    <row r="10" ht="15" customHeight="1" s="31">
      <c r="A10" s="36" t="inlineStr">
        <is>
          <t>Domeny konstela.org i konstela.pl</t>
        </is>
      </c>
      <c r="B10" s="44" t="inlineStr">
        <is>
          <t>A</t>
        </is>
      </c>
      <c r="C10" s="39" t="n">
        <v>250</v>
      </c>
      <c r="D10" s="37" t="n">
        <v>1</v>
      </c>
      <c r="E10" s="47">
        <f>C10*D10</f>
        <v/>
      </c>
      <c r="F10" s="33" t="inlineStr">
        <is>
          <t>opłacone</t>
        </is>
      </c>
    </row>
    <row r="11" ht="15" customHeight="1" s="31">
      <c r="A11" s="36" t="inlineStr">
        <is>
          <t>Powołanie fundacji-organizatora</t>
        </is>
      </c>
      <c r="B11" s="44" t="inlineStr">
        <is>
          <t>B</t>
        </is>
      </c>
      <c r="C11" s="39" t="n">
        <v>3000</v>
      </c>
      <c r="D11" s="37" t="n">
        <v>1</v>
      </c>
      <c r="E11" s="47">
        <f>C11*D11</f>
        <v/>
      </c>
      <c r="F11" s="33" t="inlineStr">
        <is>
          <t>notariusz, statut, wpis do KRS, fundusz założycielski</t>
        </is>
      </c>
    </row>
    <row r="12" ht="15" customHeight="1" s="31">
      <c r="A12" s="36" t="inlineStr">
        <is>
          <t>Konsultacja prawna przed otwarciem naboru</t>
        </is>
      </c>
      <c r="B12" s="44" t="inlineStr">
        <is>
          <t>B</t>
        </is>
      </c>
      <c r="C12" s="39" t="n">
        <v>6000</v>
      </c>
      <c r="D12" s="37" t="n">
        <v>1</v>
      </c>
      <c r="E12" s="47">
        <f>C12*D12</f>
        <v/>
      </c>
      <c r="F12" s="33" t="inlineStr">
        <is>
          <t>sześć obszarów, w tym licencja i archiwum; obowiązkowa przed naborem</t>
        </is>
      </c>
    </row>
    <row r="13" ht="15" customHeight="1" s="31">
      <c r="A13" s="36" t="inlineStr">
        <is>
          <t>Domeny, poczta, hosting, magazyn kopii archiwalnych</t>
        </is>
      </c>
      <c r="B13" s="44" t="inlineStr">
        <is>
          <t>B</t>
        </is>
      </c>
      <c r="C13" s="39" t="n">
        <v>10000</v>
      </c>
      <c r="D13" s="37" t="n">
        <v>1</v>
      </c>
      <c r="E13" s="47">
        <f>C13*D13</f>
        <v/>
      </c>
      <c r="F13" s="33" t="inlineStr">
        <is>
          <t>magazyn obiektowy w UE z kopią zapasową, retencja min. 5 lat, PDF/HTML/zrzuty/EPUB</t>
        </is>
      </c>
    </row>
    <row r="14" ht="15" customHeight="1" s="31">
      <c r="A14" s="36" t="inlineStr">
        <is>
          <t>Koordynator wydania i moderacji I-III 2028 (B2B)</t>
        </is>
      </c>
      <c r="B14" s="44" t="inlineStr">
        <is>
          <t>B</t>
        </is>
      </c>
      <c r="C14" s="39" t="n">
        <v>40000</v>
      </c>
      <c r="D14" s="37" t="n">
        <v>1</v>
      </c>
      <c r="E14" s="47">
        <f>C14*D14</f>
        <v/>
      </c>
      <c r="F14" s="33" t="inlineStr">
        <is>
          <t>pełne zaangażowanie I-III 2028, moderacja archiwum i obsługa zgłoszeń przy dużym napływie</t>
        </is>
      </c>
    </row>
    <row r="15" ht="15" customHeight="1" s="31">
      <c r="A15" s="36" t="inlineStr">
        <is>
          <t>Korekta językowa antologii</t>
        </is>
      </c>
      <c r="B15" s="44" t="inlineStr">
        <is>
          <t>B</t>
        </is>
      </c>
      <c r="C15" s="39" t="n">
        <v>4000</v>
      </c>
      <c r="D15" s="37" t="n">
        <v>1</v>
      </c>
      <c r="E15" s="47">
        <f>C15*D15</f>
        <v/>
      </c>
      <c r="F15" s="33" t="inlineStr">
        <is>
          <t>korekta dziesięciu rozmów i not</t>
        </is>
      </c>
    </row>
    <row r="16" ht="15" customHeight="1" s="31">
      <c r="A16" s="36" t="inlineStr">
        <is>
          <t>Skład i przygotowanie do druku (DTP)</t>
        </is>
      </c>
      <c r="B16" s="44" t="inlineStr">
        <is>
          <t>B</t>
        </is>
      </c>
      <c r="C16" s="39" t="n">
        <v>3000</v>
      </c>
      <c r="D16" s="37" t="n">
        <v>1</v>
      </c>
      <c r="E16" s="47">
        <f>C16*D16</f>
        <v/>
      </c>
      <c r="F16" s="33" t="inlineStr">
        <is>
          <t>szablon plus obsługa wydania</t>
        </is>
      </c>
    </row>
    <row r="17" ht="15" customHeight="1" s="31">
      <c r="A17" s="36" t="inlineStr">
        <is>
          <t>Druk pierwszego nakładu antologii (100 egz.)</t>
        </is>
      </c>
      <c r="B17" s="44" t="inlineStr">
        <is>
          <t>B</t>
        </is>
      </c>
      <c r="C17" s="39" t="n">
        <v>4000</v>
      </c>
      <c r="D17" s="37" t="n">
        <v>1</v>
      </c>
      <c r="E17" s="47">
        <f>C17*D17</f>
        <v/>
      </c>
      <c r="F17" s="33" t="inlineStr">
        <is>
          <t>z ekslibrisami podpisanymi na gali</t>
        </is>
      </c>
    </row>
    <row r="18" ht="15" customHeight="1" s="31">
      <c r="A18" s="36" t="inlineStr">
        <is>
          <t>Nadanie ISBN i egzemplarz obowiązkowy</t>
        </is>
      </c>
      <c r="B18" s="44" t="inlineStr">
        <is>
          <t>B</t>
        </is>
      </c>
      <c r="C18" s="39" t="n">
        <v>0</v>
      </c>
      <c r="D18" s="37" t="n">
        <v>1</v>
      </c>
      <c r="E18" s="47">
        <f>C18*D18</f>
        <v/>
      </c>
      <c r="F18" s="33" t="inlineStr">
        <is>
          <t>nadanie bezpłatne</t>
        </is>
      </c>
    </row>
    <row r="19" ht="15" customHeight="1" s="31">
      <c r="A19" s="36" t="inlineStr">
        <is>
          <t>Przebudowa strony: UI/UX i teksty (agencja)</t>
        </is>
      </c>
      <c r="B19" s="44" t="inlineStr">
        <is>
          <t>B</t>
        </is>
      </c>
      <c r="C19" s="39" t="n">
        <v>15000</v>
      </c>
      <c r="D19" s="37" t="n">
        <v>1</v>
      </c>
      <c r="E19" s="47">
        <f>C19*D19</f>
        <v/>
      </c>
      <c r="F19" s="33" t="inlineStr">
        <is>
          <t>projekt i wdrożenie strony Nagrody wraz z copywritingiem</t>
        </is>
      </c>
    </row>
    <row r="20" ht="15" customHeight="1" s="31">
      <c r="A20" s="36" t="inlineStr">
        <is>
          <t>Honoraria Akademii i Kapituły</t>
        </is>
      </c>
      <c r="B20" s="44" t="inlineStr">
        <is>
          <t>A</t>
        </is>
      </c>
      <c r="C20" s="39" t="n">
        <v>69500</v>
      </c>
      <c r="D20" s="37" t="n">
        <v>1</v>
      </c>
      <c r="E20" s="47">
        <f>C20*D20</f>
        <v/>
      </c>
      <c r="F20" s="33" t="inlineStr">
        <is>
          <t>15 czytelników po 2 500 zł, 4 jurorów po 8 000 zł</t>
        </is>
      </c>
    </row>
    <row r="21" ht="15" customHeight="1" s="31">
      <c r="A21" s="36" t="inlineStr">
        <is>
          <t>Promocja naboru</t>
        </is>
      </c>
      <c r="B21" s="44" t="inlineStr">
        <is>
          <t>A</t>
        </is>
      </c>
      <c r="C21" s="39" t="n">
        <v>15000</v>
      </c>
      <c r="D21" s="37" t="n">
        <v>1</v>
      </c>
      <c r="E21" s="47">
        <f>C21*D21</f>
        <v/>
      </c>
      <c r="F21" s="33" t="inlineStr">
        <is>
          <t>materiały, obsługa prasowa przy starcie i rozstrzygnięciu, płatne dotarcie</t>
        </is>
      </c>
    </row>
    <row r="22" ht="15" customHeight="1" s="31">
      <c r="A22" s="36" t="inlineStr">
        <is>
          <t>Przejazdy i noclegi finalistów na galę</t>
        </is>
      </c>
      <c r="B22" s="44" t="inlineStr">
        <is>
          <t>A</t>
        </is>
      </c>
      <c r="C22" s="39" t="n">
        <v>8000</v>
      </c>
      <c r="D22" s="37" t="n">
        <v>1</v>
      </c>
      <c r="E22" s="47">
        <f>C22*D22</f>
        <v/>
      </c>
      <c r="F22" s="33" t="inlineStr">
        <is>
          <t>dziesięć osób, przejazd i nocleg</t>
        </is>
      </c>
    </row>
    <row r="23" ht="15" customHeight="1" s="31">
      <c r="A23" s="36" t="inlineStr">
        <is>
          <t>Ubezpieczenie OC organizatora</t>
        </is>
      </c>
      <c r="B23" s="44" t="inlineStr">
        <is>
          <t>A</t>
        </is>
      </c>
      <c r="C23" s="39" t="n">
        <v>0</v>
      </c>
      <c r="D23" s="37" t="n">
        <v>1</v>
      </c>
      <c r="E23" s="47">
        <f>C23*D23</f>
        <v/>
      </c>
      <c r="F23" s="33" t="inlineStr">
        <is>
          <t>do ustalenia po konsultacji prawnej; na razie pokryte rezerwą</t>
        </is>
      </c>
    </row>
    <row r="24" ht="15" customHeight="1" s="31">
      <c r="A24" s="36" t="inlineStr">
        <is>
          <t>Obsługa fundacji za pierwszy rok</t>
        </is>
      </c>
      <c r="B24" s="44" t="inlineStr">
        <is>
          <t>B</t>
        </is>
      </c>
      <c r="C24" s="39" t="n">
        <v>6000</v>
      </c>
      <c r="D24" s="37" t="n">
        <v>1</v>
      </c>
      <c r="E24" s="47">
        <f>C24*D24</f>
        <v/>
      </c>
      <c r="F24" s="33" t="inlineStr">
        <is>
          <t>księgowość, sprawozdanie finansowe i sprawozdanie dla ministra nadzorującego</t>
        </is>
      </c>
    </row>
    <row r="25" ht="15" customHeight="1" s="31">
      <c r="A25" s="30" t="inlineStr">
        <is>
          <t>Narzędzia AI i licencje oprogramowania (rok)</t>
        </is>
      </c>
      <c r="B25" s="30" t="inlineStr">
        <is>
          <t>B</t>
        </is>
      </c>
      <c r="C25" s="30" t="n">
        <v>30000</v>
      </c>
      <c r="D25" s="30" t="n">
        <v>1</v>
      </c>
      <c r="E25" s="30">
        <f>C25*D25</f>
        <v/>
      </c>
      <c r="F25" s="30" t="inlineStr">
        <is>
          <t>Dostęp do narzędzi AI, bez których 937 godzin pracy organizatora nie jest wykonalne; rzędu 2,5 tys. zł miesięcznie</t>
        </is>
      </c>
    </row>
    <row r="26" ht="15" customHeight="1" s="31">
      <c r="A26" s="30" t="inlineStr">
        <is>
          <t>Nagrody plebiscytu (brutto dla laureatów)</t>
        </is>
      </c>
      <c r="B26" s="30" t="inlineStr">
        <is>
          <t>C</t>
        </is>
      </c>
      <c r="C26" s="30">
        <f>Założenia!$B$18</f>
        <v/>
      </c>
      <c r="D26" s="30" t="n">
        <v>1</v>
      </c>
      <c r="E26" s="30">
        <f>C26*D26</f>
        <v/>
      </c>
      <c r="F26" s="30" t="inlineStr">
        <is>
          <t>czołowa trójka; podatek 10% jak przy Nagrodzie</t>
        </is>
      </c>
    </row>
    <row r="27" ht="15" customHeight="1" s="31">
      <c r="A27" s="30" t="inlineStr">
        <is>
          <t>Nagrody publiczności (brutto)</t>
        </is>
      </c>
      <c r="B27" s="30" t="inlineStr">
        <is>
          <t>C</t>
        </is>
      </c>
      <c r="C27" s="30">
        <f>Założenia!$B$19</f>
        <v/>
      </c>
      <c r="D27" s="30" t="n">
        <v>1</v>
      </c>
      <c r="E27" s="30">
        <f>C27*D27</f>
        <v/>
      </c>
      <c r="F27" s="30" t="inlineStr">
        <is>
          <t>dla wykonawcy oraz za najlepsze uzasadnienie wyboru</t>
        </is>
      </c>
    </row>
    <row r="28">
      <c r="A28" s="30" t="inlineStr">
        <is>
          <t>Nagrania studyjne dziesięciu finalistów (netto)</t>
        </is>
      </c>
      <c r="B28" s="30" t="inlineStr">
        <is>
          <t>C</t>
        </is>
      </c>
      <c r="C28" s="30">
        <f>Założenia!$B$20</f>
        <v/>
      </c>
      <c r="D28" s="30">
        <f>Założenia!$B$21</f>
        <v/>
      </c>
      <c r="E28" s="30">
        <f>C28*D28</f>
        <v/>
      </c>
      <c r="F28" s="30" t="inlineStr">
        <is>
          <t>prawa do nagrań przechodzą na autorów</t>
        </is>
      </c>
    </row>
    <row r="29" ht="15" customHeight="1" s="31">
      <c r="A29" s="30" t="inlineStr">
        <is>
          <t>Hymn z teledyskiem (netto)</t>
        </is>
      </c>
      <c r="B29" s="30" t="inlineStr">
        <is>
          <t>C</t>
        </is>
      </c>
      <c r="C29" s="30">
        <f>Założenia!$B$22</f>
        <v/>
      </c>
      <c r="D29" s="30" t="n">
        <v>1</v>
      </c>
      <c r="E29" s="30">
        <f>C29*D29</f>
        <v/>
      </c>
      <c r="F29" s="30" t="inlineStr">
        <is>
          <t>nagranie i premiera na początku 2027, otwiera nabór</t>
        </is>
      </c>
    </row>
    <row r="30" ht="15" customHeight="1" s="31">
      <c r="A30" s="30" t="inlineStr">
        <is>
          <t>Statuetki i dyplomy plebiscytu (netto)</t>
        </is>
      </c>
      <c r="B30" s="30" t="inlineStr">
        <is>
          <t>C</t>
        </is>
      </c>
      <c r="C30" s="30">
        <f>Założenia!$B$23</f>
        <v/>
      </c>
      <c r="D30" s="30" t="n">
        <v>1</v>
      </c>
      <c r="E30" s="30">
        <f>C30*D30</f>
        <v/>
      </c>
      <c r="F30" s="30" t="inlineStr">
        <is>
          <t>propozycja, do potwierdzenia</t>
        </is>
      </c>
    </row>
    <row r="31">
      <c r="A31" s="30" t="inlineStr">
        <is>
          <t>Honoraria jury plebiscytu za ocenę (netto)</t>
        </is>
      </c>
      <c r="B31" s="30" t="inlineStr">
        <is>
          <t>C</t>
        </is>
      </c>
      <c r="C31" s="30" t="n">
        <v>0</v>
      </c>
      <c r="D31" s="30" t="n">
        <v>1</v>
      </c>
      <c r="E31" s="30">
        <f>C31*D31</f>
        <v/>
      </c>
      <c r="F31" s="30" t="inlineStr">
        <is>
          <t>DO USTALENIA - kotwica: stawka Kapituły ok. 290 zł/h, ok. 15 h na jurora</t>
        </is>
      </c>
    </row>
    <row r="32">
      <c r="A32" s="30" t="inlineStr">
        <is>
          <t>Realizacja części artystycznej gali (netto)</t>
        </is>
      </c>
      <c r="B32" s="30" t="inlineStr">
        <is>
          <t>C</t>
        </is>
      </c>
      <c r="C32" s="30" t="n">
        <v>0</v>
      </c>
      <c r="D32" s="30" t="n">
        <v>1</v>
      </c>
      <c r="E32" s="30">
        <f>C32*D32</f>
        <v/>
      </c>
      <c r="F32" s="30" t="inlineStr">
        <is>
          <t>DO WYCENY - zależy od miejsca gali, które nie jest wybrane</t>
        </is>
      </c>
    </row>
    <row r="33">
      <c r="A33" s="48" t="inlineStr">
        <is>
          <t>Koszty twarde blok A (netto)</t>
        </is>
      </c>
      <c r="E33" s="49">
        <f>SUMIF($B$5:$B$32,"A",$E$5:$E$32)</f>
        <v/>
      </c>
    </row>
    <row r="34">
      <c r="A34" s="48" t="inlineStr">
        <is>
          <t>Koszty twarde blok B (netto)</t>
        </is>
      </c>
      <c r="E34" s="49">
        <f>SUMIF($B$5:$B$32,"B",$E$5:$E$32)</f>
        <v/>
      </c>
    </row>
    <row r="35">
      <c r="A35" s="48" t="inlineStr">
        <is>
          <t>Koszty twarde blok C (netto)</t>
        </is>
      </c>
      <c r="E35" s="50">
        <f>SUMIF($B$5:$B$32,"C",$E$5:$E$32)</f>
        <v/>
      </c>
    </row>
    <row r="36">
      <c r="A36" s="30" t="inlineStr">
        <is>
          <t>RAZEM (netto)</t>
        </is>
      </c>
      <c r="E36" s="30">
        <f>E33+E34+E35</f>
        <v/>
      </c>
    </row>
    <row r="37">
      <c r="A37" s="33" t="inlineStr">
        <is>
          <t>Pozycje najłatwiejsze do ścięcia w negocjacjach: gala, fotograf, przejazdy - celowo w bloku A,</t>
        </is>
      </c>
    </row>
    <row r="38">
      <c r="A38" s="33" t="inlineStr">
        <is>
          <t>żeby cięcie nie spadało na Twoje godziny ani na produkcję antologii.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0" min="1" max="1"/>
    <col width="16" customWidth="1" style="30" min="2" max="2"/>
    <col width="62" customWidth="1" style="30" min="3" max="3"/>
  </cols>
  <sheetData>
    <row r="1" ht="17.25" customHeight="1" s="31">
      <c r="A1" s="32" t="inlineStr">
        <is>
          <t>Trzy wnioski, trzy przedmioty</t>
        </is>
      </c>
    </row>
    <row r="2" ht="15" customHeight="1" s="31">
      <c r="A2" s="33" t="inlineStr">
        <is>
          <t>Każdy sponsor finansuje nazwaną rzecz. Słowo "koszty organizacyjne" nie pada w żadnym z nich.</t>
        </is>
      </c>
    </row>
    <row r="4" ht="15" customHeight="1" s="31">
      <c r="A4" s="51" t="inlineStr">
        <is>
          <t>BLOK A - FUNDATOR NAGRODY I GALI (np. bank)</t>
        </is>
      </c>
      <c r="B4" s="52" t="n"/>
      <c r="C4" s="52" t="n"/>
    </row>
    <row r="5" ht="15" customHeight="1" s="31">
      <c r="A5" s="36" t="inlineStr">
        <is>
          <t>Pula nagród (brutto dla laureatów, bez VAT)</t>
        </is>
      </c>
      <c r="B5" s="53">
        <f>Założenia!$B$7+Założenia!$B$8*Założenia!$B$9</f>
        <v/>
      </c>
      <c r="C5" s="38" t="inlineStr">
        <is>
          <t>Nagroda główna plus dziewięć wyróżnień.</t>
        </is>
      </c>
    </row>
    <row r="6" ht="15" customHeight="1" s="31">
      <c r="A6" s="36" t="inlineStr">
        <is>
          <t>Oprawa: gala, jury, promocja, medal, przejazdy, obsługa prawna (netto)</t>
        </is>
      </c>
      <c r="B6" s="53">
        <f>Koszty!$E$33</f>
        <v/>
      </c>
      <c r="C6" s="38" t="inlineStr">
        <is>
          <t>Koszty twarde przypisane do bloku A.</t>
        </is>
      </c>
    </row>
    <row r="7" ht="15" customHeight="1" s="31">
      <c r="A7" s="36" t="inlineStr">
        <is>
          <t>Prowadzenie konkursu: praca organizatora (netto)</t>
        </is>
      </c>
      <c r="B7" s="53">
        <f>Praca!$E$30*Założenia!$B$6</f>
        <v/>
      </c>
      <c r="C7" s="38" t="inlineStr">
        <is>
          <t>Godziny bloku A razy stawka.</t>
        </is>
      </c>
    </row>
    <row r="8" ht="15" customHeight="1" s="31">
      <c r="A8" s="36" t="inlineStr">
        <is>
          <t>Rezerwa (netto)</t>
        </is>
      </c>
      <c r="B8" s="53">
        <f>(B6+B7)*Założenia!$B$10</f>
        <v/>
      </c>
      <c r="C8" s="38" t="inlineStr">
        <is>
          <t>Narzut na nieprzewidziane, liczony od oprawy i pracy.</t>
        </is>
      </c>
    </row>
    <row r="9" ht="15" customHeight="1" s="31">
      <c r="A9" s="54" t="inlineStr">
        <is>
          <t>WNIOSEK A - RAZEM NETTO</t>
        </is>
      </c>
      <c r="B9" s="55">
        <f>SUM(B5:B8)</f>
        <v/>
      </c>
      <c r="C9" s="38" t="inlineStr">
        <is>
          <t>Kwota netto; przy banku VAT jest ich realnym kosztem.</t>
        </is>
      </c>
    </row>
    <row r="10" ht="15" customHeight="1" s="31">
      <c r="A10" s="36" t="inlineStr">
        <is>
          <t>Udział pozycji innych niż pula</t>
        </is>
      </c>
      <c r="B10" s="56">
        <f>(B9-B5)/B9</f>
        <v/>
      </c>
      <c r="C10" s="38" t="inlineStr">
        <is>
          <t>Poniżej 30% rozmowa nie schodzi na wskaźniki.</t>
        </is>
      </c>
    </row>
    <row r="11" ht="15" customHeight="1" s="31">
      <c r="A11" s="36" t="inlineStr">
        <is>
          <t>Wniosek A - VAT</t>
        </is>
      </c>
      <c r="B11" s="53">
        <f>B9*Założenia!$B$15</f>
        <v/>
      </c>
      <c r="C11" s="38" t="inlineStr">
        <is>
          <t>Przy banku VAT jest w dużej części ich realnym kosztem, bo odliczają go w ograniczonym zakresie.</t>
        </is>
      </c>
    </row>
    <row r="12" ht="15" customHeight="1" s="31">
      <c r="A12" s="54" t="inlineStr">
        <is>
          <t>WNIOSEK A - DO ZAPŁATY BRUTTO</t>
        </is>
      </c>
      <c r="B12" s="55">
        <f>B9+B11</f>
        <v/>
      </c>
      <c r="C12" s="38" t="inlineStr">
        <is>
          <t>To jest liczba, którą sponsor widzi na fakturze.</t>
        </is>
      </c>
    </row>
    <row r="13" ht="15" customHeight="1" s="31">
      <c r="A13" s="57" t="inlineStr">
        <is>
          <t>BLOK B - PARTNER WYDAWNICZY (fundacja korporacyjna, firma technologiczna)</t>
        </is>
      </c>
      <c r="B13" s="58" t="n"/>
      <c r="C13" s="58" t="n"/>
    </row>
    <row r="14" ht="15" customHeight="1" s="31">
      <c r="A14" s="36" t="inlineStr">
        <is>
          <t>Produkcja antologii i archiwum: koszty twarde (netto)</t>
        </is>
      </c>
      <c r="B14" s="53">
        <f>Koszty!$E$34</f>
        <v/>
      </c>
      <c r="C14" s="38" t="inlineStr">
        <is>
          <t>Koordynator, korekta, skład, druk, hosting, powołanie fundacji.</t>
        </is>
      </c>
    </row>
    <row r="15" ht="15" customHeight="1" s="31">
      <c r="A15" s="36" t="inlineStr">
        <is>
          <t>Redakcja, skład i publikacja: praca organizatora (netto)</t>
        </is>
      </c>
      <c r="B15" s="53">
        <f>Praca!$E$31*Założenia!$B$6</f>
        <v/>
      </c>
      <c r="C15" s="38" t="inlineStr">
        <is>
          <t>Godziny bloku B razy stawka, w tym 285 h prac programistycznych.</t>
        </is>
      </c>
    </row>
    <row r="16" ht="15" customHeight="1" s="31">
      <c r="A16" s="36" t="inlineStr">
        <is>
          <t>Marża (netto)</t>
        </is>
      </c>
      <c r="B16" s="53">
        <f>(B14+B15)*Założenia!$B$11</f>
        <v/>
      </c>
      <c r="C16" s="38" t="inlineStr">
        <is>
          <t>Narzut zgodnie z założeniem w polu B11.</t>
        </is>
      </c>
    </row>
    <row r="17" ht="15" customHeight="1" s="31">
      <c r="A17" s="54" t="inlineStr">
        <is>
          <t>WNIOSEK B - RAZEM NETTO</t>
        </is>
      </c>
      <c r="B17" s="55">
        <f>SUM(B14:B16)</f>
        <v/>
      </c>
      <c r="C17" s="38" t="inlineStr">
        <is>
          <t>Finansuje nazwany przedmiot: bezpłatną antologię.</t>
        </is>
      </c>
    </row>
    <row r="18" ht="15" customHeight="1" s="31">
      <c r="A18" s="36" t="inlineStr">
        <is>
          <t>Wniosek B - VAT</t>
        </is>
      </c>
      <c r="B18" s="53">
        <f>B17*Założenia!$B$15</f>
        <v/>
      </c>
      <c r="C18" s="38" t="inlineStr">
        <is>
          <t>Zależy od statusu podatkowego partnera.</t>
        </is>
      </c>
    </row>
    <row r="19" ht="15" customHeight="1" s="31">
      <c r="A19" s="54" t="inlineStr">
        <is>
          <t>WNIOSEK B - DO ZAPŁATY BRUTTO</t>
        </is>
      </c>
      <c r="B19" s="55">
        <f>B17+B18</f>
        <v/>
      </c>
      <c r="C19" s="38" t="inlineStr">
        <is>
          <t>To jest liczba, którą partner widzi na fakturze.</t>
        </is>
      </c>
    </row>
    <row r="20" ht="15" customHeight="1" s="31">
      <c r="A20" s="30" t="inlineStr">
        <is>
          <t>BLOK C - SPONSOR PLEBISCYTU NA PIOSENKĘ</t>
        </is>
      </c>
    </row>
    <row r="21" ht="15" customHeight="1" s="31">
      <c r="A21" s="30" t="inlineStr">
        <is>
          <t>Nagrody plebiscytu (brutto dla laureatów, bez VAT)</t>
        </is>
      </c>
      <c r="B21" s="30">
        <f>Założenia!$B$18+Założenia!$B$19</f>
        <v/>
      </c>
      <c r="C21" s="30" t="inlineStr">
        <is>
          <t>Czołowa trójka plus dwie nagrody publiczności.</t>
        </is>
      </c>
    </row>
    <row r="22" ht="15" customHeight="1" s="31">
      <c r="A22" s="30" t="inlineStr">
        <is>
          <t>Produkcja: nagrania dziesiątki, hymn z teledyskiem, statuetki</t>
        </is>
      </c>
      <c r="B22" s="30">
        <f>Koszty!$E$35-B21</f>
        <v/>
      </c>
      <c r="C22" s="30" t="inlineStr">
        <is>
          <t>Koszty twarde bloku C poza nagrodami.</t>
        </is>
      </c>
    </row>
    <row r="23" ht="15" customHeight="1" s="31">
      <c r="A23" s="30" t="inlineStr">
        <is>
          <t>Prowadzenie plebiscytu: praca organizatora (netto)</t>
        </is>
      </c>
      <c r="B23" s="30">
        <f>Praca!$E$32*Założenia!$B$6</f>
        <v/>
      </c>
      <c r="C23" s="30" t="inlineStr">
        <is>
          <t>Godziny bloku C razy stawka.</t>
        </is>
      </c>
    </row>
    <row r="24" ht="15" customHeight="1" s="31">
      <c r="A24" s="30" t="inlineStr">
        <is>
          <t>Rezerwa (netto)</t>
        </is>
      </c>
      <c r="B24" s="30">
        <f>(B22+B23)*Założenia!$B$24</f>
        <v/>
      </c>
      <c r="C24" s="30" t="inlineStr">
        <is>
          <t>Narzut na nieprzewidziane, liczony od produkcji i pracy.</t>
        </is>
      </c>
    </row>
    <row r="25" ht="15" customHeight="1" s="31">
      <c r="A25" s="30" t="inlineStr">
        <is>
          <t>WNIOSEK C - RAZEM NETTO</t>
        </is>
      </c>
      <c r="B25" s="30">
        <f>SUM(B21:B24)</f>
        <v/>
      </c>
      <c r="C25" s="30" t="inlineStr">
        <is>
          <t>Finansuje nazwany przedmiot: konkurs, nagrania i hymn.</t>
        </is>
      </c>
    </row>
    <row r="26" ht="15" customHeight="1" s="31">
      <c r="A26" s="30" t="inlineStr">
        <is>
          <t>Udział pozycji innych niż nagrody</t>
        </is>
      </c>
      <c r="B26" s="30">
        <f>(B25-B21)/B25</f>
        <v/>
      </c>
      <c r="C26" s="30" t="inlineStr">
        <is>
          <t>Wysoki, bo produkcja nagrań jest tu rzeczywistym przedmiotem, nie obsługą.</t>
        </is>
      </c>
    </row>
    <row r="27" ht="15" customHeight="1" s="31">
      <c r="A27" s="30" t="inlineStr">
        <is>
          <t>Wniosek C - VAT</t>
        </is>
      </c>
      <c r="B27" s="30">
        <f>B25*Założenia!$B$15</f>
        <v/>
      </c>
      <c r="C27" s="30" t="inlineStr">
        <is>
          <t>Zależy od statusu podatkowego sponsora.</t>
        </is>
      </c>
    </row>
    <row r="28" ht="15" customHeight="1" s="31">
      <c r="A28" s="30" t="inlineStr">
        <is>
          <t>WNIOSEK C - DO ZAPŁATY BRUTTO</t>
        </is>
      </c>
      <c r="B28" s="30">
        <f>B25+B27</f>
        <v/>
      </c>
      <c r="C28" s="30" t="inlineStr">
        <is>
          <t>To jest liczba, którą sponsor plebiscytu widzi na fakturze.</t>
        </is>
      </c>
    </row>
    <row r="29" ht="15" customHeight="1" s="31">
      <c r="A29" s="34" t="inlineStr">
        <is>
          <t>RAZEM I CO ZOSTAJE ORGANIZATOROWI</t>
        </is>
      </c>
      <c r="B29" s="35" t="n"/>
      <c r="C29" s="35" t="n"/>
    </row>
    <row r="30">
      <c r="A30" s="54" t="inlineStr">
        <is>
          <t>Trzy wnioski - razem netto</t>
        </is>
      </c>
      <c r="B30" s="55">
        <f>Wnioski!$B$9+Wnioski!$B$17+Wnioski!$B$25</f>
        <v/>
      </c>
      <c r="C30" s="38" t="inlineStr">
        <is>
          <t>Suma obu bloków.</t>
        </is>
      </c>
    </row>
    <row r="31" ht="15" customHeight="1" s="31">
      <c r="A31" s="36" t="inlineStr">
        <is>
          <t>Przychód organizatora netto (bez puli nagród)</t>
        </is>
      </c>
      <c r="B31" s="53">
        <f>Wnioski!$B$9-B5+Wnioski!$B$17+Wnioski!$B$25-B21</f>
        <v/>
      </c>
      <c r="C31" s="38" t="inlineStr">
        <is>
          <t>Wszystko poza kwotami wypłacanymi laureatom.</t>
        </is>
      </c>
    </row>
    <row r="32" ht="15" customHeight="1" s="31">
      <c r="A32" s="36" t="inlineStr">
        <is>
          <t>minus koszty twarde (netto)</t>
        </is>
      </c>
      <c r="B32" s="53">
        <f>-(Koszty!$E$33+Koszty!$E$34+Koszty!$E$35)</f>
        <v/>
      </c>
      <c r="C32" s="38" t="inlineStr">
        <is>
          <t>Wydatki rzeczywiste, w tym koordynator.</t>
        </is>
      </c>
    </row>
    <row r="33" ht="15" customHeight="1" s="31">
      <c r="A33" s="36" t="inlineStr">
        <is>
          <t>Podstawa opodatkowania</t>
        </is>
      </c>
      <c r="B33" s="53">
        <f>B31+B32</f>
        <v/>
      </c>
      <c r="C33" s="38" t="inlineStr">
        <is>
          <t>Uproszczenie: bez innych kosztów działalności.</t>
        </is>
      </c>
    </row>
    <row r="34">
      <c r="A34" s="36" t="inlineStr">
        <is>
          <t>Podatek liniowy i składka zdrowotna</t>
        </is>
      </c>
      <c r="B34" s="53">
        <f>-B33*(Założenia!$B$12+Założenia!$B$13)</f>
        <v/>
      </c>
      <c r="C34" s="38" t="inlineStr">
        <is>
          <t>Do weryfikacji z księgowym.</t>
        </is>
      </c>
    </row>
    <row r="35">
      <c r="A35" s="54" t="inlineStr">
        <is>
          <t>ZOSTAJE NA RĘKĘ (po podatku i składce)</t>
        </is>
      </c>
      <c r="B35" s="55">
        <f>B33+B34</f>
        <v/>
      </c>
      <c r="C35" s="38" t="inlineStr">
        <is>
          <t>Wynagrodzenie za cały nakład pracy przy edycji.</t>
        </is>
      </c>
    </row>
    <row r="36">
      <c r="A36" s="36" t="inlineStr">
        <is>
          <t>Godziny pracy</t>
        </is>
      </c>
      <c r="B36" s="59">
        <f>Praca!$E$33</f>
        <v/>
      </c>
      <c r="C36" s="38" t="inlineStr">
        <is>
          <t>Z arkusza Praca.</t>
        </is>
      </c>
    </row>
    <row r="37">
      <c r="A37" s="54" t="inlineStr">
        <is>
          <t>STAWKA RZECZYWISTA ZA GODZINĘ (na rękę)</t>
        </is>
      </c>
      <c r="B37" s="55">
        <f>IFERROR(B35/B36,0)</f>
        <v/>
      </c>
      <c r="C37" s="38" t="inlineStr">
        <is>
          <t>Porównaj ze stawką z pola B6 arkusza Założenia.</t>
        </is>
      </c>
    </row>
    <row r="38">
      <c r="A38" s="36" t="inlineStr">
        <is>
          <t>Podatek od nagród potrącany laureatom (10% z kwot brutto)</t>
        </is>
      </c>
      <c r="B38" s="53">
        <f>(B5+B21)*Założenia!$B$14</f>
        <v/>
      </c>
      <c r="C38" s="38" t="inlineStr">
        <is>
          <t>Płatnik odprowadza od nagród bloku A i bloku C; nie jest Twoim kosztem.</t>
        </is>
      </c>
    </row>
    <row r="40">
      <c r="A40" s="33" t="inlineStr">
        <is>
          <t>Dlaczego trzy wnioski, a nie jeden: każdy sponsor kupuje inną rzecz i inaczej ją sobie uzasadnia.</t>
        </is>
      </c>
    </row>
    <row r="41">
      <c r="A41" s="33" t="inlineStr">
        <is>
          <t>Fundator puli dostaje nagrodę i wieczór; partner wydawniczy bezpłatną antologię; sponsor plebiscytu konkurs, nagrania i hymn.</t>
        </is>
      </c>
    </row>
    <row r="42">
      <c r="A42" s="33" t="inlineStr">
        <is>
          <t>Trzy mniejsze zgody są łatwiejsze do zdobycia niż jedna duża, a odpadnięcie jednego partnera nie przewraca pozostałych bloków.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2026-10-19T17:52:46Z</dcterms:created>
  <dcterms:modified xmlns:dcterms="http://purl.org/dc/terms/" xmlns:xsi="http://www.w3.org/2001/XMLSchema-instance" xsi:type="dcterms:W3CDTF">2026-10-24T12:35:57Z</dcterms:modified>
  <cp:revision>0</cp:revision>
</cp:coreProperties>
</file>