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Nagrody'!$D$39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Plebiscytu'!$D$34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Plakatu'!$D$37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Filmu'!$D$36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Nagrody'!$D$39+'Budżet Gali'!$D$26+'Budżet Antologii'!$D$39+'Budżet Uruchomienia'!$D$28+'Budżet Plebiscytu'!$D$34+'Budżet Plakatu'!$D$37+'Budżet Akademii'!$D$33+'Budżet Filmu'!$D$36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Honoraria zespołu wybierającego najlepsze uzasadnienie głosu (netto)</t>
        </is>
      </c>
      <c r="B31" s="70" t="n">
        <v>3000</v>
      </c>
      <c r="C31" s="65" t="n">
        <v>1</v>
      </c>
      <c r="D31" s="67">
        <f>B31*C31</f>
        <v/>
      </c>
      <c r="E31" s="57" t="inlineStr">
        <is>
          <t>trzy osoby spoza jury, po 1 000 zł; czytają uzasadnienia oddanych głosów i wybierają nagrodzone (nagroda 2 000 zł mieści się w nagrodach publiczności)</t>
        </is>
      </c>
      <c r="F31" s="47" t="n"/>
    </row>
    <row r="32" ht="15" customHeight="1" s="45">
      <c r="A32" s="64" t="inlineStr">
        <is>
          <t>Razem koszty twarde</t>
        </is>
      </c>
      <c r="B32" s="70" t="n"/>
      <c r="C32" s="65" t="n"/>
      <c r="D32" s="67">
        <f>SUM(D21:D31)</f>
        <v/>
      </c>
      <c r="E32" s="5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Nagrody (brutto dla laureatów, bez VAT)</t>
        </is>
      </c>
      <c r="B35" s="47" t="n"/>
      <c r="C35" s="47" t="n"/>
      <c r="D35" s="67">
        <f>Wyjaśnienia!$B$19+Wyjaśnienia!$B$22+Wyjaśnienia!$B$23+Wyjaśnienia!$B$20*Wyjaśnienia!$B$21</f>
        <v/>
      </c>
      <c r="E35" s="47" t="n"/>
      <c r="F35" s="47" t="n"/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E17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D32</f>
        <v/>
      </c>
      <c r="E37" s="47" t="n"/>
      <c r="F37" s="47" t="n"/>
      <c r="H37" s="47" t="n"/>
    </row>
    <row r="38" ht="15" customHeight="1" s="45">
      <c r="A38" s="64" t="inlineStr">
        <is>
          <t>Rezerwa (od pracy i kosztów, bez nagród)</t>
        </is>
      </c>
      <c r="D38" s="47">
        <f>(D36+D37-D27-D29)*Wyjaśnienia!$B$32</f>
        <v/>
      </c>
      <c r="E38" s="44" t="inlineStr">
        <is>
          <t>liczona od pracy i kosztów twardych z wyłączeniem nagród publiczności i Nagrody Uczniowskiej - tak samo jak w pozostałych budżetach, gdzie rezerwa nagród nie obejmuje</t>
        </is>
      </c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SUM(D35:D38)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33:F33"/>
    <mergeCell ref="A19:F19"/>
    <mergeCell ref="A1:F1"/>
    <mergeCell ref="A5:F5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- w Budżecie Gali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pokrywa je sponsor gali; pozycja zostaje w zestawieniu, żeby było widać, że koszt istnieje i kto go ponosi</t>
        </is>
      </c>
      <c r="F25" s="72" t="n"/>
      <c r="G25" s="68" t="n">
        <v>2028</v>
      </c>
    </row>
    <row r="26" ht="15" customHeight="1" s="45">
      <c r="A26" s="72" t="inlineStr">
        <is>
          <t>Honoraria zespołu wybierającego najlepsze uzasadnienie głosu (netto)</t>
        </is>
      </c>
      <c r="B26" s="60" t="n">
        <v>3000</v>
      </c>
      <c r="C26" s="73" t="n">
        <v>1</v>
      </c>
      <c r="D26" s="52">
        <f>B26*C26</f>
        <v/>
      </c>
      <c r="E26" s="44" t="inlineStr">
        <is>
          <t>trzy osoby spoza jury, po 1 000 zł; czytają uzasadnienia oddanych głosów i wybierają nagrodzone (nagroda 2 000 zł mieści się w nagrodach publiczności)</t>
        </is>
      </c>
      <c r="F26" s="72" t="n"/>
    </row>
    <row r="27" ht="15" customHeight="1" s="45">
      <c r="A27" s="50" t="inlineStr">
        <is>
          <t>Razem koszty twarde</t>
        </is>
      </c>
      <c r="D27" s="47">
        <f>SUM(D16:D26)</f>
        <v/>
      </c>
      <c r="H27" s="47" t="n"/>
    </row>
    <row r="28" ht="15" customHeight="1" s="45">
      <c r="A28" s="47" t="n"/>
      <c r="H28" s="47" t="n"/>
    </row>
    <row r="29" ht="15" customHeight="1" s="45">
      <c r="A29" s="49" t="inlineStr">
        <is>
          <t>PODSUMOWANIE</t>
        </is>
      </c>
      <c r="H29" s="47" t="n"/>
    </row>
    <row r="30" ht="15" customHeight="1" s="45">
      <c r="A30" s="64" t="inlineStr">
        <is>
          <t>Nagrody (brutto dla laureatów, bez VAT)</t>
        </is>
      </c>
      <c r="B30" s="47" t="n"/>
      <c r="C30" s="47" t="n"/>
      <c r="D30" s="67">
        <f>Wyjaśnienia!$B$25+Wyjaśnienia!$B$26</f>
        <v/>
      </c>
      <c r="E30" s="47" t="n"/>
      <c r="F30" s="47" t="n"/>
      <c r="H30" s="47" t="n"/>
    </row>
    <row r="31" ht="15" customHeight="1" s="45">
      <c r="A31" s="64" t="inlineStr">
        <is>
          <t>Praca organizatora</t>
        </is>
      </c>
      <c r="B31" s="47" t="n"/>
      <c r="C31" s="47" t="n"/>
      <c r="D31" s="52">
        <f>E12</f>
        <v/>
      </c>
      <c r="E31" s="47" t="n"/>
      <c r="F31" s="47" t="n"/>
      <c r="H31" s="47" t="n"/>
    </row>
    <row r="32" ht="15" customHeight="1" s="45">
      <c r="A32" s="64" t="inlineStr">
        <is>
          <t>Koszty twarde bez nagród</t>
        </is>
      </c>
      <c r="B32" s="47" t="n"/>
      <c r="C32" s="47" t="n"/>
      <c r="D32" s="52">
        <f>D27-D30</f>
        <v/>
      </c>
      <c r="E32" s="47" t="n"/>
      <c r="F32" s="47" t="n"/>
      <c r="H32" s="47" t="n"/>
    </row>
    <row r="33" ht="15" customHeight="1" s="45">
      <c r="A33" s="64" t="inlineStr">
        <is>
          <t>Rezerwa (od pracy i kosztów, bez nagród)</t>
        </is>
      </c>
      <c r="B33" s="47" t="n"/>
      <c r="C33" s="47" t="n"/>
      <c r="D33" s="52">
        <f>(D31+D32)*Wyjaśnienia!$B$34</f>
        <v/>
      </c>
      <c r="E33" s="47" t="n"/>
      <c r="F33" s="47" t="n"/>
      <c r="H33" s="47" t="n"/>
    </row>
    <row r="34" ht="15" customHeight="1" s="45">
      <c r="A34" s="50" t="inlineStr">
        <is>
          <t>RAZEM NETTO</t>
        </is>
      </c>
      <c r="B34" s="47" t="n"/>
      <c r="C34" s="47" t="n"/>
      <c r="D34" s="53">
        <f>SUM(D30:D33)</f>
        <v/>
      </c>
      <c r="E34" s="47" t="n"/>
      <c r="F34" s="47" t="n"/>
      <c r="H34" s="47" t="n"/>
    </row>
    <row r="35" ht="15" customHeight="1" s="45">
      <c r="A35" s="64" t="inlineStr">
        <is>
          <t>VAT</t>
        </is>
      </c>
      <c r="B35" s="47" t="n"/>
      <c r="C35" s="47" t="n"/>
      <c r="D35" s="52">
        <f>D34*Wyjaśnienia!$B$35</f>
        <v/>
      </c>
      <c r="E35" s="47" t="n"/>
      <c r="F35" s="47" t="n"/>
      <c r="H35" s="47" t="n"/>
    </row>
    <row r="36" ht="15" customHeight="1" s="45">
      <c r="A36" s="50" t="inlineStr">
        <is>
          <t>DO ZAPŁATY BRUTTO - ta liczba trafia na fakturę</t>
        </is>
      </c>
      <c r="B36" s="47" t="n"/>
      <c r="C36" s="47" t="n"/>
      <c r="D36" s="71">
        <f>D34+D35</f>
        <v/>
      </c>
      <c r="E36" s="47" t="n"/>
      <c r="F36" s="47" t="n"/>
      <c r="H36" s="47" t="n"/>
    </row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- w Budżecie Gali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pokrywa je sponsor gali; pozycja zostaje w zestawieniu, żeby było widać, że koszt istnieje i kto go ponosi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47" t="inlineStr">
        <is>
          <t>Honoraria zespołu wybierającego najlepsze uzasadnienie głosu (netto)</t>
        </is>
      </c>
      <c r="B29" s="60" t="n">
        <v>3000</v>
      </c>
      <c r="C29" s="68" t="n">
        <v>1</v>
      </c>
      <c r="D29" s="52">
        <f>B29*C29</f>
        <v/>
      </c>
      <c r="E29" s="47" t="inlineStr">
        <is>
          <t>trzy osoby spoza jury, po 1 000 zł; czytają uzasadnienia oddanych głosów i wybierają nagrodzone (nagroda 2 000 zł mieści się w nagrodach publiczności)</t>
        </is>
      </c>
    </row>
    <row r="30" ht="15" customHeight="1" s="45">
      <c r="A30" s="54" t="inlineStr">
        <is>
          <t>Razem koszty twarde</t>
        </is>
      </c>
      <c r="D30" s="47">
        <f>SUM(D18:D29)</f>
        <v/>
      </c>
    </row>
    <row r="31" ht="15" customHeight="1" s="45">
      <c r="A31" s="47" t="n"/>
    </row>
    <row r="32" ht="15" customHeight="1" s="45">
      <c r="A32" s="54" t="inlineStr">
        <is>
          <t>PODSUMOWANIE</t>
        </is>
      </c>
    </row>
    <row r="33" ht="15" customHeight="1" s="45">
      <c r="A33" s="47" t="inlineStr">
        <is>
          <t>Nagrody (brutto dla laureatów, bez VAT)</t>
        </is>
      </c>
      <c r="D33" s="52">
        <f>Wyjaśnienia!$B$56+Wyjaśnienia!$B$57</f>
        <v/>
      </c>
    </row>
    <row r="34" ht="15" customHeight="1" s="45">
      <c r="A34" s="47" t="inlineStr">
        <is>
          <t>Praca organizatora</t>
        </is>
      </c>
      <c r="D34" s="52">
        <f>E14</f>
        <v/>
      </c>
    </row>
    <row r="35" ht="15" customHeight="1" s="45">
      <c r="A35" s="47" t="inlineStr">
        <is>
          <t>Koszty twarde bez nagród</t>
        </is>
      </c>
      <c r="D35" s="52">
        <f>D30-D33</f>
        <v/>
      </c>
    </row>
    <row r="36" ht="15" customHeight="1" s="45">
      <c r="A36" s="47" t="inlineStr">
        <is>
          <t>Rezerwa (od pracy i kosztów, bez nagród)</t>
        </is>
      </c>
      <c r="D36" s="52">
        <f>(D34+D35)*Wyjaśnienia!$B$65</f>
        <v/>
      </c>
    </row>
    <row r="37" ht="15" customHeight="1" s="45">
      <c r="A37" s="54" t="inlineStr">
        <is>
          <t>RAZEM NETTO</t>
        </is>
      </c>
      <c r="D37" s="55">
        <f>SUM(D33:D36)</f>
        <v/>
      </c>
    </row>
    <row r="38" ht="15" customHeight="1" s="45">
      <c r="A38" s="47" t="inlineStr">
        <is>
          <t>VAT</t>
        </is>
      </c>
      <c r="D38" s="52">
        <f>D37*Wyjaśnienia!$B$35</f>
        <v/>
      </c>
    </row>
    <row r="39">
      <c r="A39" s="54" t="inlineStr">
        <is>
          <t>DO ZAPŁATY BRUTTO - ta liczba trafia na fakturę</t>
        </is>
      </c>
      <c r="D39" s="55">
        <f>D37+D38</f>
        <v/>
      </c>
    </row>
    <row r="40" ht="15" customHeight="1" s="45"/>
    <row r="41" ht="15" customHeight="1" s="45">
      <c r="A41" s="54" t="inlineStr">
        <is>
          <t>POZA ZAKRESEM PYTANIA DO MKiDN</t>
        </is>
      </c>
    </row>
    <row r="42" ht="15" customHeight="1" s="45">
      <c r="A42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3" ht="15" customHeight="1" s="45">
      <c r="A43" s="54" t="inlineStr">
        <is>
          <t>Pozycja</t>
        </is>
      </c>
      <c r="B43" s="54" t="inlineStr">
        <is>
          <t>Cena jednostkowa</t>
        </is>
      </c>
      <c r="C43" s="54" t="inlineStr">
        <is>
          <t>Ilość</t>
        </is>
      </c>
      <c r="D43" s="54" t="inlineStr">
        <is>
          <t>Kwota</t>
        </is>
      </c>
      <c r="E43" s="54" t="inlineStr">
        <is>
          <t>Uwagi</t>
        </is>
      </c>
      <c r="G43" s="54" t="inlineStr">
        <is>
          <t>Rok kosztu</t>
        </is>
      </c>
    </row>
    <row r="44" ht="15" customHeight="1" s="45">
      <c r="A44" s="47" t="inlineStr">
        <is>
          <t>Realizacja wernisażu i wystawy w galerii sztuki (netto)</t>
        </is>
      </c>
      <c r="B44" s="52" t="n">
        <v>0</v>
      </c>
      <c r="C44" s="68" t="n">
        <v>1</v>
      </c>
      <c r="D44" s="52">
        <f>B43*C43</f>
        <v/>
      </c>
      <c r="E44" s="47" t="inlineStr">
        <is>
          <t>DO WYCENY - zawieszenie, oświetlenie, opisy prac, obsługa wernisażu i przewóz między miejscami. Finansuje partner galerii.</t>
        </is>
      </c>
    </row>
    <row r="45">
      <c r="A45" s="47" t="inlineStr">
        <is>
          <t>Obsługa cichej licytacji oryginałów (netto)</t>
        </is>
      </c>
      <c r="B45" s="52">
        <f>Wyjaśnienia!$B$17</f>
        <v/>
      </c>
      <c r="C45" s="68" t="n">
        <v>20</v>
      </c>
      <c r="D45" s="52">
        <f>B44*C44</f>
        <v/>
      </c>
      <c r="E45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- w Budżecie Gali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pokrywa je sponsor gali; pozycja zostaje w zestawieniu, żeby było widać, że koszt istnieje i kto go ponosi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47" t="inlineStr">
        <is>
          <t>Honoraria zespołu wybierającego najlepsze uzasadnienie głosu (netto)</t>
        </is>
      </c>
      <c r="B28" s="52" t="n">
        <v>3000</v>
      </c>
      <c r="C28" s="68" t="n">
        <v>1</v>
      </c>
      <c r="D28" s="52">
        <f>B28*C28</f>
        <v/>
      </c>
      <c r="E28" s="47" t="inlineStr">
        <is>
          <t>trzy osoby spoza jury, po 1 000 zł; czytają uzasadnienia oddanych głosów i wybierają nagrodzone (nagroda 2 000 zł mieści się w nagrodach publiczności)</t>
        </is>
      </c>
    </row>
    <row r="29" ht="15" customHeight="1" s="45">
      <c r="A29" s="54" t="inlineStr">
        <is>
          <t>Razem koszty twarde</t>
        </is>
      </c>
      <c r="B29" s="52" t="n"/>
      <c r="C29" s="68" t="n"/>
      <c r="D29" s="55">
        <f>SUM(D19:D28)</f>
        <v/>
      </c>
    </row>
    <row r="30" ht="15" customHeight="1" s="45"/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Wyjaśnienia!$B$69+Wyjaśnienia!$B$70</f>
        <v/>
      </c>
    </row>
    <row r="33" ht="15" customHeight="1" s="45">
      <c r="A33" s="47" t="inlineStr">
        <is>
          <t>Praca organizatora</t>
        </is>
      </c>
      <c r="D33" s="52">
        <f>E15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(D33+D34)*Wyjaśnienia!$B$76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>
      <c r="A38" s="54" t="inlineStr">
        <is>
          <t>DO ZAPŁATY BRUTTO - ta liczba trafia na fakturę</t>
        </is>
      </c>
      <c r="D38" s="55">
        <f>D36+D37</f>
        <v/>
      </c>
    </row>
  </sheetData>
  <mergeCells count="6">
    <mergeCell ref="A2:F2"/>
    <mergeCell ref="A1:F1"/>
    <mergeCell ref="A5:F5"/>
    <mergeCell ref="A31:F31"/>
    <mergeCell ref="A17:F1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czterech plebiscytów na galę</t>
        </is>
      </c>
      <c r="B15" s="70" t="n">
        <v>32000</v>
      </c>
      <c r="C15" s="65" t="n">
        <v>1</v>
      </c>
      <c r="D15" s="67">
        <f>B15*C15</f>
        <v/>
      </c>
      <c r="E15" s="57" t="inlineStr">
        <is>
          <t>czterdziestu finalistów, po dziesięciu z każdego plebiscytu;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2026-10-30T20:10:42Z</dcterms:modified>
  <cp:revision>0</cp:revision>
</cp:coreProperties>
</file>