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<sst xmlns="http://schemas.openxmlformats.org/spreadsheetml/2006/main" count="749" uniqueCount="416">
  <si>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</si>
  <si>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</si>
  <si>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</si>
  <si>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</si>
  <si>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</si>
  <si>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</si>
  <si>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</si>
  <si>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</si>
  <si>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</si>
  <si>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</si>
  <si>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</si>
  <si>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</si>
  <si>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</si>
  <si>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</si>
  <si>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</si>
  <si>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</si>
  <si>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</si>
  <si>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</si>
  <si>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</si>
  <si>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</si>
  <si>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</si>
  <si>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</si>
  <si>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</si>
  <si>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</si>
  <si>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</si>
  <si>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</si>
  <si>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</si>
  <si>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</si>
  <si>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</si>
  <si>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</si>
  <si>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</si>
  <si>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</si>
  <si>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</si>
  <si>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</si>
  <si>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</si>
  <si>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</si>
  <si>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</si>
  <si>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</si>
  <si>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</si>
  <si>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</si>
  <si>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</si>
  <si>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</si>
  <si>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</si>
  <si>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</si>
  <si>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10 000 zł dla wykonawcy z największą liczbą głosów oraz 2 000 zł za najlepsze uzasadnienie oddanego głosu, wybierane przez trzyosobowy zespół spoza jury. Uzasadnienie jest obowiązkowe przy każdym głosie, od 200 do 1500 znaków (§ 11 ust. 2 regulaminu).</t>
  </si>
  <si>
    <t xml:space="preserve">Nagrody publiczności rozmowy łącznie (brutto)</t>
  </si>
  <si>
    <t xml:space="preserve">10 000 zł dla rozmowy z największą liczbą głosów oraz 2 000 zł dla głosującego, który najlepiej uzasadnił swój głos. Nagroda Uczniowska 10 000 zł jest pozycją osobną.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</si>
  <si>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</si>
  <si>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</si>
  <si>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</si>
  <si>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</si>
  <si>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</si>
  <si>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</si>
  <si>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</si>
  <si>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</si>
  <si>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</si>
  <si>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</si>
  <si>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</si>
  <si>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</si>
  <si>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</si>
  <si>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</si>
  <si>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</si>
  <si>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</si>
  <si>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</si>
  <si>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</si>
  <si>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</si>
  <si>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</si>
  <si>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</si>
  <si>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</si>
  <si>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</si>
  <si>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</si>
  <si>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</si>
  <si>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</si>
  <si>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</si>
  <si>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</si>
  <si>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</si>
  <si>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</si>
  <si>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</si>
  <si>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</si>
  <si>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</si>
  <si>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</si>
  <si>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</si>
  <si>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</si>
  <si>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</si>
  <si>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</si>
  <si>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</si>
  <si>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</si>
  <si>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10 000 zł dla pracy z największą liczbą głosów oraz 2 000 zł za najlepsze uzasadnienie oddanego głosu, wybierane przez trzyosobowy zespół spoza jury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</si>
  <si>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</si>
  <si>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</si>
  <si>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</si>
  <si>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</si>
  <si>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</si>
  <si>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</si>
  <si>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</si>
  <si>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</si>
  <si>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</si>
  <si>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</si>
  <si>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</si>
  <si>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</si>
  <si>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</si>
  <si>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</si>
  <si>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</si>
  <si>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</si>
  <si>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</si>
  <si>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</si>
  <si>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</si>
  <si>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</si>
  <si>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10 000 zł dla filmu z największą liczbą głosów oraz 2 000 zł za najlepsze uzasadnienie oddanego głosu, wybierane przez trzyosobowy zespół spoza jury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</si>
  <si>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</si>
  <si>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</si>
  <si>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</si>
  <si>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</si>
  <si>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</si>
  <si>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</si>
  <si>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</si>
  <si>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</si>
  <si>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</si>
  <si>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</si>
  <si>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</si>
  <si>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</si>
  <si>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</si>
  <si>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</si>
  <si>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</si>
  <si>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</si>
  <si>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</si>
  <si>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</si>
  <si>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</si>
  <si>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</si>
  <si>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</si>
  <si>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</si>
  <si>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</si>
  <si>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</si>
  <si>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</si>
  <si>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</si>
  <si>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</si>
  <si>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</si>
  <si>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</si>
  <si>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</si>
  <si>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</si>
  <si>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</si>
  <si>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</si>
  <si>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</si>
  <si>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</si>
  <si>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</si>
  <si>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</si>
  <si>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</si>
  <si>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</si>
  <si>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</si>
  <si>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</si>
  <si>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</si>
  <si>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</si>
  <si>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</si>
  <si>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</si>
  <si>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</si>
  <si>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</si>
  <si>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</si>
  <si>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</si>
  <si>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</si>
  <si>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</si>
  <si>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</si>
  <si>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</si>
  <si>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</si>
  <si>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</si>
  <si>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</si>
  <si>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</si>
  <si>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</si>
  <si>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</si>
  <si>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</si>
  <si>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</si>
  <si>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</si>
  <si>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</si>
  <si>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</si>
  <si>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</si>
  <si>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</si>
  <si>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</si>
  <si>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</si>
  <si>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</si>
  <si>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</si>
  <si>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</si>
  <si>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</si>
  <si>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</si>
  <si>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</si>
  <si>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</si>
  <si>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</si>
  <si>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</si>
  <si>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</si>
  <si>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</si>
  <si>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</si>
  <si>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</si>
  <si>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</si>
  <si>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</si>
  <si>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</si>
  <si>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</si>
  <si>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</si>
  <si>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</si>
  <si>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</si>
  <si>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</si>
  <si>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</si>
  <si>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</si>
  <si>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</si>
  <si>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</si>
  <si>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</si>
  <si>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</si>
  <si>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</si>
  <si>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</si>
  <si>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</si>
  <si>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</si>
  <si>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</si>
  <si>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</si>
  <si>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</si>
  <si>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</si>
  <si>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</si>
  <si>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</si>
  <si>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</si>
  <si>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</si>
  <si>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</si>
  <si>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</si>
  <si>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</si>
  <si>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</si>
  <si>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</si>
  <si>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</si>
  <si>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</si>
  <si>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</si>
  <si>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</si>
  <si>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</si>
  <si>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</si>
  <si>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</si>
  <si>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</si>
  <si>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</si>
  <si>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</si>
  <si>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</si>
  <si>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</si>
  <si>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</si>
  <si>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</si>
  <si>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</si>
  <si>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</si>
  <si>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</si>
  <si>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</si>
  <si>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</si>
  <si>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</si>
  <si>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</si>
  <si>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</si>
  <si>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</si>
  <si>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</si>
  <si>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</si>
  <si>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</si>
  <si>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</si>
  <si>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</si>
  <si>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</si>
  <si>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</si>
  <si>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</si>
  <si>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</si>
  <si>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</si>
  <si>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</si>
  <si>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</si>
  <si>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</si>
  <si>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</si>
  <si>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</si>
  <si>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</si>
  <si>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</si>
  <si>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</si>
  <si>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</si>
  <si>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</si>
  <si>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</si>
  <si>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</si>
  <si>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</si>
  <si>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</si>
  <si>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</si>
  <si>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</si>
  <si>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</si>
  <si>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</si>
  <si>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</si>
  <si>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</si>
  <si>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</si>
  <si>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</si>
  <si>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</si>
  <si>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</si>
  <si>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</si>
  <si>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</si>
  <si>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</si>
  <si>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</si>
  <si>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</si>
  <si>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</si>
  <si>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</si>
  <si>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</si>
  <si>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</si>
  <si>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</si>
  <si>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</si>
  <si>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</si>
  <si>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</si>
  <si>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</si>
  <si>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</si>
  <si>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</si>
  <si>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</si>
  <si>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</si>
  <si>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</si>
  <si>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</si>
  <si>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</si>
  <si>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</si>
  <si>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</si>
  <si>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</si>
  <si>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</si>
  <si>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</si>
  <si>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</si>
  <si>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</si>
  <si>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</si>
  <si>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</si>
  <si>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</si>
  <si>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</si>
  <si>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</si>
  <si>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</si>
  <si>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</si>
  <si>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</si>
  <si>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</si>
  <si>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</si>
  <si>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</si>
  <si>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</si>
  <si>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</si>
  <si>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</si>
  <si>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</si>
  <si>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</si>
  <si>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</si>
  <si>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</si>
  <si>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</si>
  <si>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</si>
  <si>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</si>
  <si>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</si>
  <si>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</si>
  <si>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</si>
  <si>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</si>
  <si>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</si>
  <si>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</si>
  <si>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</si>
  <si>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</si>
  <si>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</si>
  <si>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</si>
  <si>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</si>
  <si>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</si>
  <si>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</si>
  <si>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</si>
  <si>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</si>
  <si>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</si>
  <si>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</si>
  <si>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</si>
  <si>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</si>
  <si>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</si>
  <si>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</si>
  <si>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</si>
  <si>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</si>
  <si>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</si>
  <si>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</si>
  <si>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</si>
  <si>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</si>
  <si>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</si>
  <si>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</si>
  <si>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</si>
  <si>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</si>
  <si>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</si>
  <si>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</si>
  <si>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</si>
  <si>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</si>
  <si>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</si>
  <si>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</si>
  <si>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</si>
  <si>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</si>
  <si>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</si>
  <si>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</si>
  <si>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</si>
  <si>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</si>
  <si>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</si>
  <si>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</si>
  <si>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</si>
  <si>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</si>
  <si>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</si>
  <si>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</si>
  <si>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</si>
  <si>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</si>
  <si>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</si>
  <si>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</si>
  <si>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</si>
  <si>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</si>
  <si>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</si>
  <si>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</si>
  <si>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</si>
  <si>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</si>
  <si>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</si>
  <si>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</si>
  <si>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</si>
  <si>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zapis udostępniany bezpłatnie - do wyceny</t>
  </si>
  <si>
    <t xml:space="preserve">Prowadzenie gali</t>
  </si>
  <si>
    <t xml:space="preserve">do wyceny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</si>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</sst>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Filmu'!$D$36</f>
        <v>281600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62048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Filmu'!$D$36</f>
        <v>1839251.76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  <c r="C27" s="1" t="s">
        <v>46</v>
      </c>
    </row>
    <row r="28" customFormat="false" ht="15" hidden="false" customHeight="true" outlineLevel="0" collapsed="false">
      <c r="A28" s="3" t="s">
        <v>47</v>
      </c>
      <c r="B28" s="12" t="n">
        <v>7500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2" t="n">
        <v>10</v>
      </c>
      <c r="C29" s="13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2" t="n">
        <v>80000</v>
      </c>
      <c r="C30" s="13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2" t="n">
        <v>1200</v>
      </c>
      <c r="C31" s="13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4" t="n">
        <v>0.12</v>
      </c>
      <c r="C32" s="13" t="s">
        <v>56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57</v>
      </c>
      <c r="B33" s="14" t="n">
        <v>0.2</v>
      </c>
      <c r="C33" s="13" t="s">
        <v>58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59</v>
      </c>
      <c r="B34" s="14" t="n">
        <v>0.12</v>
      </c>
      <c r="C34" s="13" t="s">
        <v>56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60</v>
      </c>
      <c r="B35" s="14" t="n">
        <v>0.23</v>
      </c>
      <c r="C35" s="13" t="s">
        <v>61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62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63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64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65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66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67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68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69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70</v>
      </c>
      <c r="B46" s="16"/>
      <c r="C46" s="16"/>
    </row>
    <row r="47" customFormat="false" ht="15" hidden="false" customHeight="true" outlineLevel="0" collapsed="false">
      <c r="A47" s="17" t="s">
        <v>71</v>
      </c>
      <c r="B47" s="17"/>
      <c r="C47" s="17"/>
    </row>
    <row r="48" customFormat="false" ht="15" hidden="false" customHeight="true" outlineLevel="0" collapsed="false">
      <c r="A48" s="3" t="s">
        <v>72</v>
      </c>
      <c r="B48" s="12" t="n">
        <v>2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8" t="n">
        <v>500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8" t="n">
        <v>2500</v>
      </c>
      <c r="C50" s="3" t="s">
        <v>77</v>
      </c>
    </row>
    <row r="51" customFormat="false" ht="15" hidden="false" customHeight="true" outlineLevel="0" collapsed="false">
      <c r="A51" s="3" t="s">
        <v>78</v>
      </c>
      <c r="B51" s="12" t="n">
        <v>15</v>
      </c>
      <c r="C51" s="3" t="s">
        <v>79</v>
      </c>
    </row>
    <row r="52" customFormat="false" ht="15" hidden="false" customHeight="true" outlineLevel="0" collapsed="false">
      <c r="A52" s="3" t="s">
        <v>80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81</v>
      </c>
      <c r="B54" s="20"/>
      <c r="C54" s="20"/>
    </row>
    <row r="55" customFormat="false" ht="15" hidden="false" customHeight="true" outlineLevel="0" collapsed="false">
      <c r="A55" s="1" t="s">
        <v>82</v>
      </c>
      <c r="B55" s="21" t="n">
        <v>150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90000</v>
      </c>
      <c r="C56" s="1" t="s">
        <v>85</v>
      </c>
    </row>
    <row r="57" customFormat="false" ht="15" hidden="false" customHeight="true" outlineLevel="0" collapsed="false">
      <c r="A57" s="1" t="s">
        <v>86</v>
      </c>
      <c r="B57" s="18" t="n">
        <v>12000</v>
      </c>
      <c r="C57" s="1" t="s">
        <v>87</v>
      </c>
    </row>
    <row r="58" customFormat="false" ht="15" hidden="false" customHeight="true" outlineLevel="0" collapsed="false">
      <c r="A58" s="1" t="s">
        <v>88</v>
      </c>
      <c r="B58" s="18" t="n">
        <v>1200</v>
      </c>
      <c r="C58" s="1" t="s">
        <v>54</v>
      </c>
    </row>
    <row r="59" customFormat="false" ht="15" hidden="false" customHeight="true" outlineLevel="0" collapsed="false">
      <c r="A59" s="1" t="s">
        <v>89</v>
      </c>
      <c r="B59" s="21" t="n">
        <v>5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290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21" t="n">
        <v>10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400</v>
      </c>
      <c r="C63" s="1" t="s">
        <v>98</v>
      </c>
    </row>
    <row r="64" customFormat="false" ht="15" hidden="false" customHeight="true" outlineLevel="0" collapsed="false">
      <c r="A64" s="1" t="s">
        <v>99</v>
      </c>
      <c r="B64" s="18" t="n">
        <v>3000</v>
      </c>
      <c r="C64" s="1" t="s">
        <v>100</v>
      </c>
    </row>
    <row r="65" customFormat="false" ht="15" hidden="false" customHeight="true" outlineLevel="0" collapsed="false">
      <c r="A65" s="1" t="s">
        <v>101</v>
      </c>
      <c r="B65" s="18" t="n">
        <v>0.12</v>
      </c>
      <c r="C65" s="1" t="s">
        <v>56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102</v>
      </c>
      <c r="B67" s="20"/>
      <c r="C67" s="20"/>
    </row>
    <row r="68" customFormat="false" ht="15" hidden="false" customHeight="true" outlineLevel="0" collapsed="false">
      <c r="A68" s="1" t="s">
        <v>103</v>
      </c>
      <c r="B68" s="12" t="n">
        <v>150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2" t="n">
        <v>180000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2" t="n">
        <v>12000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2" t="n">
        <v>1200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2" t="n">
        <v>10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2" t="n">
        <v>5</v>
      </c>
      <c r="C73" s="1" t="s">
        <v>114</v>
      </c>
    </row>
    <row r="74" customFormat="false" ht="15" hidden="false" customHeight="true" outlineLevel="0" collapsed="false">
      <c r="A74" s="1" t="s">
        <v>115</v>
      </c>
      <c r="B74" s="12" t="n">
        <v>40</v>
      </c>
      <c r="C74" s="1" t="s">
        <v>116</v>
      </c>
    </row>
    <row r="75" customFormat="false" ht="15" hidden="false" customHeight="true" outlineLevel="0" collapsed="false">
      <c r="A75" s="1" t="s">
        <v>117</v>
      </c>
      <c r="B75" s="12" t="n">
        <v>290</v>
      </c>
      <c r="C75" s="1" t="s">
        <v>94</v>
      </c>
    </row>
    <row r="76" customFormat="false" ht="15" hidden="false" customHeight="true" outlineLevel="0" collapsed="false">
      <c r="A76" s="1" t="s">
        <v>118</v>
      </c>
      <c r="B76" s="12" t="n">
        <v>0.12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2" t="n">
        <v>2</v>
      </c>
      <c r="C77" s="1" t="s">
        <v>121</v>
      </c>
    </row>
    <row r="78" customFormat="false" ht="15" hidden="false" customHeight="true" outlineLevel="0" collapsed="false">
      <c r="A78" s="1" t="s">
        <v>122</v>
      </c>
      <c r="B78" s="12" t="n">
        <v>300</v>
      </c>
      <c r="C78" s="1" t="s">
        <v>123</v>
      </c>
    </row>
    <row r="79" customFormat="false" ht="15" hidden="false" customHeight="true" outlineLevel="0" collapsed="false">
      <c r="A79" s="1" t="s">
        <v>124</v>
      </c>
      <c r="B79" s="12" t="n">
        <v>10</v>
      </c>
      <c r="C79" s="1" t="s">
        <v>125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126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136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137</v>
      </c>
      <c r="G7" s="26" t="s">
        <v>138</v>
      </c>
      <c r="H7" s="3"/>
    </row>
    <row r="8" customFormat="false" ht="15" hidden="false" customHeight="true" outlineLevel="0" collapsed="false">
      <c r="A8" s="22" t="s">
        <v>139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140</v>
      </c>
      <c r="G8" s="26" t="s">
        <v>138</v>
      </c>
      <c r="H8" s="3"/>
    </row>
    <row r="9" customFormat="false" ht="15" hidden="false" customHeight="true" outlineLevel="0" collapsed="false">
      <c r="A9" s="22" t="s">
        <v>141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142</v>
      </c>
      <c r="G9" s="26" t="s">
        <v>138</v>
      </c>
      <c r="H9" s="3"/>
    </row>
    <row r="10" customFormat="false" ht="15" hidden="false" customHeight="true" outlineLevel="0" collapsed="false">
      <c r="A10" s="22" t="s">
        <v>143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144</v>
      </c>
      <c r="G10" s="26" t="s">
        <v>138</v>
      </c>
      <c r="H10" s="3"/>
    </row>
    <row r="11" customFormat="false" ht="15" hidden="false" customHeight="true" outlineLevel="0" collapsed="false">
      <c r="A11" s="22" t="s">
        <v>145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146</v>
      </c>
      <c r="G11" s="26" t="s">
        <v>138</v>
      </c>
      <c r="H11" s="3"/>
    </row>
    <row r="12" customFormat="false" ht="15" hidden="false" customHeight="true" outlineLevel="0" collapsed="false">
      <c r="A12" s="22" t="s">
        <v>147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148</v>
      </c>
      <c r="G12" s="26" t="s">
        <v>138</v>
      </c>
      <c r="H12" s="3"/>
    </row>
    <row r="13" customFormat="false" ht="15" hidden="false" customHeight="true" outlineLevel="0" collapsed="false">
      <c r="A13" s="22" t="s">
        <v>149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150</v>
      </c>
      <c r="G13" s="26" t="s">
        <v>151</v>
      </c>
      <c r="H13" s="3"/>
    </row>
    <row r="14" customFormat="false" ht="15" hidden="false" customHeight="true" outlineLevel="0" collapsed="false">
      <c r="A14" s="22" t="s">
        <v>152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153</v>
      </c>
      <c r="G14" s="26" t="s">
        <v>151</v>
      </c>
      <c r="H14" s="3"/>
    </row>
    <row r="15" customFormat="false" ht="15" hidden="false" customHeight="true" outlineLevel="0" collapsed="false">
      <c r="A15" s="22" t="s">
        <v>154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155</v>
      </c>
      <c r="G15" s="26" t="s">
        <v>151</v>
      </c>
      <c r="H15" s="3"/>
    </row>
    <row r="16" customFormat="false" ht="15" hidden="false" customHeight="true" outlineLevel="0" collapsed="false">
      <c r="A16" s="22" t="s">
        <v>156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157</v>
      </c>
      <c r="G16" s="26" t="s">
        <v>138</v>
      </c>
      <c r="H16" s="3"/>
    </row>
    <row r="17" customFormat="false" ht="15" hidden="false" customHeight="true" outlineLevel="0" collapsed="false">
      <c r="A17" s="6" t="s">
        <v>158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159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129</v>
      </c>
      <c r="B20" s="3" t="s">
        <v>160</v>
      </c>
      <c r="C20" s="3" t="s">
        <v>161</v>
      </c>
      <c r="D20" s="3" t="s">
        <v>133</v>
      </c>
      <c r="E20" s="3" t="s">
        <v>134</v>
      </c>
      <c r="G20" s="6" t="s">
        <v>135</v>
      </c>
      <c r="H20" s="3"/>
    </row>
    <row r="21" customFormat="false" ht="15" hidden="false" customHeight="true" outlineLevel="0" collapsed="false">
      <c r="A21" s="22" t="s">
        <v>162</v>
      </c>
      <c r="B21" s="28" t="n">
        <v>1200</v>
      </c>
      <c r="C21" s="23" t="n">
        <v>1</v>
      </c>
      <c r="D21" s="25" t="n">
        <f aca="false">B21*C21</f>
        <v>1200</v>
      </c>
      <c r="E21" s="13" t="s">
        <v>163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164</v>
      </c>
      <c r="B22" s="28" t="n">
        <v>1500</v>
      </c>
      <c r="C22" s="23" t="n">
        <v>1</v>
      </c>
      <c r="D22" s="25" t="n">
        <f aca="false">B22*C22</f>
        <v>1500</v>
      </c>
      <c r="E22" s="13" t="s">
        <v>165</v>
      </c>
      <c r="F22" s="3"/>
      <c r="G22" s="26" t="s">
        <v>138</v>
      </c>
      <c r="H22" s="3"/>
    </row>
    <row r="23" customFormat="false" ht="15" hidden="false" customHeight="true" outlineLevel="0" collapsed="false">
      <c r="A23" s="22" t="s">
        <v>166</v>
      </c>
      <c r="B23" s="28" t="n">
        <v>250</v>
      </c>
      <c r="C23" s="23" t="n">
        <v>1</v>
      </c>
      <c r="D23" s="25" t="n">
        <f aca="false">B23*C23</f>
        <v>250</v>
      </c>
      <c r="E23" s="13" t="s">
        <v>167</v>
      </c>
      <c r="F23" s="3"/>
      <c r="G23" s="26" t="s">
        <v>138</v>
      </c>
      <c r="H23" s="3"/>
    </row>
    <row r="24" customFormat="false" ht="15" hidden="false" customHeight="true" outlineLevel="0" collapsed="false">
      <c r="A24" s="22" t="s">
        <v>168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169</v>
      </c>
      <c r="F24" s="3" t="s">
        <v>170</v>
      </c>
      <c r="G24" s="26" t="s">
        <v>151</v>
      </c>
      <c r="H24" s="3"/>
    </row>
    <row r="25" customFormat="false" ht="15" hidden="false" customHeight="true" outlineLevel="0" collapsed="false">
      <c r="A25" s="22" t="s">
        <v>171</v>
      </c>
      <c r="B25" s="28" t="n">
        <v>0</v>
      </c>
      <c r="C25" s="23" t="n">
        <v>1</v>
      </c>
      <c r="D25" s="25" t="n">
        <f aca="false">B25*C25</f>
        <v>0</v>
      </c>
      <c r="E25" s="13" t="s">
        <v>172</v>
      </c>
      <c r="F25" s="3"/>
      <c r="G25" s="26" t="s">
        <v>138</v>
      </c>
    </row>
    <row r="26" customFormat="false" ht="15" hidden="false" customHeight="true" outlineLevel="0" collapsed="false">
      <c r="A26" s="22" t="s">
        <v>173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174</v>
      </c>
      <c r="F26" s="3"/>
      <c r="G26" s="26" t="s">
        <v>138</v>
      </c>
      <c r="H26" s="3"/>
    </row>
    <row r="27" customFormat="false" ht="15" hidden="false" customHeight="true" outlineLevel="0" collapsed="false">
      <c r="A27" s="22" t="s">
        <v>175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176</v>
      </c>
      <c r="F27" s="3"/>
      <c r="G27" s="26" t="s">
        <v>151</v>
      </c>
    </row>
    <row r="28" customFormat="false" ht="15" hidden="false" customHeight="true" outlineLevel="0" collapsed="false">
      <c r="A28" s="22" t="s">
        <v>177</v>
      </c>
      <c r="B28" s="28" t="n">
        <v>0</v>
      </c>
      <c r="C28" s="23" t="n">
        <v>1</v>
      </c>
      <c r="D28" s="25" t="n">
        <f aca="false">B28*C28</f>
        <v>0</v>
      </c>
      <c r="E28" s="13" t="s">
        <v>178</v>
      </c>
      <c r="F28" s="3"/>
      <c r="G28" s="26" t="s">
        <v>138</v>
      </c>
      <c r="H28" s="3"/>
    </row>
    <row r="29" customFormat="false" ht="15" hidden="false" customHeight="true" outlineLevel="0" collapsed="false">
      <c r="A29" s="22" t="s">
        <v>179</v>
      </c>
      <c r="B29" s="28" t="n">
        <v>10000</v>
      </c>
      <c r="C29" s="23" t="n">
        <v>1</v>
      </c>
      <c r="D29" s="25" t="n">
        <f aca="false">B29*C29</f>
        <v>10000</v>
      </c>
      <c r="E29" s="13" t="s">
        <v>180</v>
      </c>
      <c r="F29" s="3"/>
      <c r="G29" s="26" t="s">
        <v>151</v>
      </c>
    </row>
    <row r="30" customFormat="false" ht="15" hidden="false" customHeight="true" outlineLevel="0" collapsed="false">
      <c r="A30" s="22" t="s">
        <v>181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182</v>
      </c>
      <c r="F30" s="3"/>
    </row>
    <row r="31" customFormat="false" ht="15" hidden="false" customHeight="true" outlineLevel="0" collapsed="false">
      <c r="A31" s="22" t="s">
        <v>183</v>
      </c>
      <c r="B31" s="28" t="n">
        <v>3000</v>
      </c>
      <c r="C31" s="23" t="n">
        <v>1</v>
      </c>
      <c r="D31" s="25" t="n">
        <f aca="false">B31*C31</f>
        <v>3000</v>
      </c>
      <c r="E31" s="13" t="s">
        <v>184</v>
      </c>
      <c r="F31" s="3"/>
    </row>
    <row r="32" customFormat="false" ht="15" hidden="false" customHeight="true" outlineLevel="0" collapsed="false">
      <c r="A32" s="22" t="s">
        <v>185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5" t="s">
        <v>186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187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190</v>
      </c>
      <c r="D38" s="3" t="n">
        <f aca="false">(D36+D37-D27-D29)*Wyjaśnienia!$B$32</f>
        <v>16586.76</v>
      </c>
      <c r="E38" s="1" t="s">
        <v>191</v>
      </c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196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197</v>
      </c>
      <c r="G7" s="26" t="s">
        <v>138</v>
      </c>
      <c r="H7" s="3"/>
    </row>
    <row r="8" customFormat="false" ht="15" hidden="false" customHeight="true" outlineLevel="0" collapsed="false">
      <c r="A8" s="22" t="s">
        <v>198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199</v>
      </c>
      <c r="G8" s="26" t="s">
        <v>151</v>
      </c>
      <c r="H8" s="3"/>
    </row>
    <row r="9" customFormat="false" ht="15" hidden="false" customHeight="true" outlineLevel="0" collapsed="false">
      <c r="A9" s="22" t="s">
        <v>200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201</v>
      </c>
      <c r="G9" s="26" t="s">
        <v>151</v>
      </c>
      <c r="H9" s="3"/>
    </row>
    <row r="10" customFormat="false" ht="15" hidden="false" customHeight="true" outlineLevel="0" collapsed="false">
      <c r="A10" s="22" t="s">
        <v>202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203</v>
      </c>
      <c r="G10" s="26" t="s">
        <v>151</v>
      </c>
      <c r="H10" s="3"/>
    </row>
    <row r="11" customFormat="false" ht="15" hidden="false" customHeight="true" outlineLevel="0" collapsed="false">
      <c r="A11" s="22" t="s">
        <v>204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205</v>
      </c>
      <c r="G11" s="26" t="s">
        <v>138</v>
      </c>
      <c r="H11" s="3"/>
    </row>
    <row r="12" customFormat="false" ht="15" hidden="false" customHeight="true" outlineLevel="0" collapsed="false">
      <c r="A12" s="6" t="s">
        <v>158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206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159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129</v>
      </c>
      <c r="B15" s="7" t="s">
        <v>160</v>
      </c>
      <c r="C15" s="7" t="s">
        <v>161</v>
      </c>
      <c r="D15" s="7" t="s">
        <v>133</v>
      </c>
      <c r="E15" s="6" t="s">
        <v>134</v>
      </c>
      <c r="F15" s="3"/>
      <c r="G15" s="6" t="s">
        <v>135</v>
      </c>
      <c r="H15" s="3"/>
    </row>
    <row r="16" customFormat="false" ht="15" hidden="false" customHeight="true" outlineLevel="0" collapsed="false">
      <c r="A16" s="22" t="s">
        <v>207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208</v>
      </c>
      <c r="F16" s="3"/>
      <c r="G16" s="26" t="s">
        <v>151</v>
      </c>
      <c r="H16" s="3"/>
    </row>
    <row r="17" customFormat="false" ht="15" hidden="false" customHeight="true" outlineLevel="0" collapsed="false">
      <c r="A17" s="22" t="s">
        <v>175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176</v>
      </c>
      <c r="F17" s="3"/>
      <c r="G17" s="26" t="s">
        <v>151</v>
      </c>
      <c r="H17" s="3"/>
    </row>
    <row r="18" customFormat="false" ht="15" hidden="false" customHeight="true" outlineLevel="0" collapsed="false">
      <c r="A18" s="22" t="s">
        <v>209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210</v>
      </c>
      <c r="F18" s="3"/>
      <c r="G18" s="26" t="s">
        <v>151</v>
      </c>
      <c r="H18" s="3"/>
    </row>
    <row r="19" customFormat="false" ht="15" hidden="false" customHeight="true" outlineLevel="0" collapsed="false">
      <c r="A19" s="22" t="s">
        <v>51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211</v>
      </c>
      <c r="F19" s="3"/>
      <c r="G19" s="26" t="s">
        <v>138</v>
      </c>
      <c r="H19" s="3"/>
    </row>
    <row r="20" customFormat="false" ht="15" hidden="false" customHeight="true" outlineLevel="0" collapsed="false">
      <c r="A20" s="22" t="s">
        <v>212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213</v>
      </c>
      <c r="F20" s="3"/>
      <c r="G20" s="26" t="s">
        <v>151</v>
      </c>
      <c r="H20" s="3"/>
    </row>
    <row r="21" customFormat="false" ht="15" hidden="false" customHeight="true" outlineLevel="0" collapsed="false">
      <c r="A21" s="22" t="s">
        <v>214</v>
      </c>
      <c r="B21" s="28" t="n">
        <v>0</v>
      </c>
      <c r="C21" s="23" t="n">
        <v>1</v>
      </c>
      <c r="D21" s="25" t="n">
        <f aca="false">B21*C21</f>
        <v>0</v>
      </c>
      <c r="E21" s="13" t="s">
        <v>215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171</v>
      </c>
      <c r="B22" s="28" t="n">
        <v>0</v>
      </c>
      <c r="C22" s="23" t="n">
        <v>1</v>
      </c>
      <c r="D22" s="25" t="n">
        <f aca="false">B22*C22</f>
        <v>0</v>
      </c>
      <c r="E22" s="13" t="s">
        <v>216</v>
      </c>
      <c r="F22" s="3"/>
      <c r="G22" s="26" t="s">
        <v>138</v>
      </c>
    </row>
    <row r="23" customFormat="false" ht="15" hidden="false" customHeight="true" outlineLevel="0" collapsed="false">
      <c r="A23" s="22" t="s">
        <v>217</v>
      </c>
      <c r="B23" s="28" t="n">
        <v>0</v>
      </c>
      <c r="C23" s="23" t="n">
        <v>1</v>
      </c>
      <c r="D23" s="25" t="n">
        <f aca="false">B23*C23</f>
        <v>0</v>
      </c>
      <c r="E23" s="13" t="s">
        <v>218</v>
      </c>
      <c r="F23" s="3"/>
      <c r="G23" s="26" t="s">
        <v>151</v>
      </c>
      <c r="H23" s="3"/>
    </row>
    <row r="24" customFormat="false" ht="15" hidden="false" customHeight="true" outlineLevel="0" collapsed="false">
      <c r="A24" s="31" t="s">
        <v>219</v>
      </c>
      <c r="B24" s="18" t="n">
        <v>0</v>
      </c>
      <c r="C24" s="32" t="n">
        <v>1</v>
      </c>
      <c r="D24" s="8" t="n">
        <f aca="false">B24*C24</f>
        <v>0</v>
      </c>
      <c r="E24" s="1" t="s">
        <v>220</v>
      </c>
      <c r="F24" s="31" t="s">
        <v>221</v>
      </c>
      <c r="G24" s="26" t="s">
        <v>138</v>
      </c>
    </row>
    <row r="25" customFormat="false" ht="15" hidden="false" customHeight="true" outlineLevel="0" collapsed="false">
      <c r="A25" s="31" t="s">
        <v>222</v>
      </c>
      <c r="B25" s="18" t="n">
        <v>0</v>
      </c>
      <c r="C25" s="32" t="n">
        <v>1</v>
      </c>
      <c r="D25" s="8" t="n">
        <f aca="false">B25*C25</f>
        <v>0</v>
      </c>
      <c r="E25" s="1" t="s">
        <v>223</v>
      </c>
      <c r="F25" s="31"/>
      <c r="G25" s="26" t="s">
        <v>151</v>
      </c>
    </row>
    <row r="26" customFormat="false" ht="15" hidden="false" customHeight="true" outlineLevel="0" collapsed="false">
      <c r="A26" s="31" t="s">
        <v>183</v>
      </c>
      <c r="B26" s="18" t="n">
        <v>3000</v>
      </c>
      <c r="C26" s="32" t="n">
        <v>1</v>
      </c>
      <c r="D26" s="8" t="n">
        <f aca="false">B26*C26</f>
        <v>3000</v>
      </c>
      <c r="E26" s="1" t="s">
        <v>184</v>
      </c>
      <c r="F26" s="31"/>
    </row>
    <row r="27" customFormat="false" ht="15" hidden="false" customHeight="true" outlineLevel="0" collapsed="false">
      <c r="A27" s="6" t="s">
        <v>185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186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187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188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224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190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192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193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194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10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225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127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226</v>
      </c>
      <c r="B7" s="21" t="n">
        <v>0</v>
      </c>
      <c r="C7" s="21" t="n">
        <v>10</v>
      </c>
      <c r="D7" s="34" t="n">
        <f aca="false">B7+C7*Wyjaśnienia!$B$55/60</f>
        <v>25</v>
      </c>
      <c r="E7" s="8" t="n">
        <f aca="false">D7*Wyjaśnienia!$B$17</f>
        <v>5500</v>
      </c>
      <c r="F7" s="3" t="s">
        <v>227</v>
      </c>
      <c r="G7" s="26" t="s">
        <v>138</v>
      </c>
    </row>
    <row r="8" customFormat="false" ht="15" hidden="false" customHeight="true" outlineLevel="0" collapsed="false">
      <c r="A8" s="3" t="s">
        <v>228</v>
      </c>
      <c r="B8" s="21" t="n">
        <v>30</v>
      </c>
      <c r="C8" s="34"/>
      <c r="D8" s="34" t="n">
        <f aca="false">B8+C8*Wyjaśnienia!$B$55/60</f>
        <v>30</v>
      </c>
      <c r="E8" s="8" t="n">
        <f aca="false">D8*Wyjaśnienia!$B$17</f>
        <v>6600</v>
      </c>
      <c r="F8" s="3" t="s">
        <v>229</v>
      </c>
      <c r="G8" s="26" t="s">
        <v>151</v>
      </c>
    </row>
    <row r="9" customFormat="false" ht="15" hidden="false" customHeight="true" outlineLevel="0" collapsed="false">
      <c r="A9" s="3" t="s">
        <v>202</v>
      </c>
      <c r="B9" s="21" t="n">
        <v>20</v>
      </c>
      <c r="C9" s="34"/>
      <c r="D9" s="34" t="n">
        <f aca="false">B9+C9*Wyjaśnienia!$B$55/60</f>
        <v>20</v>
      </c>
      <c r="E9" s="8" t="n">
        <f aca="false">D9*Wyjaśnienia!$B$17</f>
        <v>4400</v>
      </c>
      <c r="F9" s="3" t="s">
        <v>230</v>
      </c>
      <c r="G9" s="26" t="s">
        <v>151</v>
      </c>
    </row>
    <row r="10" customFormat="false" ht="15" hidden="false" customHeight="true" outlineLevel="0" collapsed="false">
      <c r="A10" s="3" t="s">
        <v>231</v>
      </c>
      <c r="B10" s="21" t="n">
        <v>35</v>
      </c>
      <c r="C10" s="34"/>
      <c r="D10" s="34" t="n">
        <f aca="false">B10+C10*Wyjaśnienia!$B$55/60</f>
        <v>35</v>
      </c>
      <c r="E10" s="8" t="n">
        <f aca="false">D10*Wyjaśnienia!$B$17</f>
        <v>7700</v>
      </c>
      <c r="F10" s="3" t="s">
        <v>232</v>
      </c>
      <c r="G10" s="26" t="s">
        <v>151</v>
      </c>
    </row>
    <row r="11" customFormat="false" ht="15" hidden="false" customHeight="true" outlineLevel="0" collapsed="false">
      <c r="A11" s="3" t="s">
        <v>233</v>
      </c>
      <c r="B11" s="21" t="n">
        <v>15</v>
      </c>
      <c r="C11" s="34"/>
      <c r="D11" s="34" t="n">
        <f aca="false">B11+C11*Wyjaśnienia!$B$55/60</f>
        <v>15</v>
      </c>
      <c r="E11" s="8" t="n">
        <f aca="false">D11*Wyjaśnienia!$B$17</f>
        <v>3300</v>
      </c>
      <c r="F11" s="3" t="s">
        <v>234</v>
      </c>
      <c r="G11" s="26" t="s">
        <v>151</v>
      </c>
    </row>
    <row r="12" customFormat="false" ht="15" hidden="false" customHeight="true" outlineLevel="0" collapsed="false">
      <c r="A12" s="3" t="s">
        <v>235</v>
      </c>
      <c r="B12" s="21" t="n">
        <v>50</v>
      </c>
      <c r="C12" s="34"/>
      <c r="D12" s="34" t="n">
        <f aca="false">B12+C12*Wyjaśnienia!$B$55/60</f>
        <v>50</v>
      </c>
      <c r="E12" s="8" t="n">
        <f aca="false">D12*Wyjaśnienia!$B$17</f>
        <v>11000</v>
      </c>
      <c r="F12" s="3" t="s">
        <v>236</v>
      </c>
      <c r="G12" s="26" t="s">
        <v>138</v>
      </c>
    </row>
    <row r="13" customFormat="false" ht="15" hidden="false" customHeight="true" outlineLevel="0" collapsed="false">
      <c r="A13" s="3" t="s">
        <v>237</v>
      </c>
      <c r="B13" s="21" t="n">
        <v>20</v>
      </c>
      <c r="C13" s="34"/>
      <c r="D13" s="34" t="n">
        <f aca="false">B13+C13*Wyjaśnienia!$B$55/60</f>
        <v>20</v>
      </c>
      <c r="E13" s="8" t="n">
        <f aca="false">D13*Wyjaśnienia!$B$17</f>
        <v>4400</v>
      </c>
      <c r="F13" s="3" t="s">
        <v>238</v>
      </c>
      <c r="G13" s="26" t="s">
        <v>151</v>
      </c>
    </row>
    <row r="14" customFormat="false" ht="15" hidden="false" customHeight="true" outlineLevel="0" collapsed="false">
      <c r="A14" s="10" t="s">
        <v>158</v>
      </c>
      <c r="D14" s="35" t="n">
        <f aca="false">SUM(D7:D13)</f>
        <v>195</v>
      </c>
      <c r="E14" s="11" t="n">
        <f aca="false">SUM(E7:E13)</f>
        <v>42900</v>
      </c>
      <c r="F14" s="3" t="s">
        <v>206</v>
      </c>
    </row>
    <row r="16" customFormat="false" ht="15" hidden="false" customHeight="true" outlineLevel="0" collapsed="false">
      <c r="A16" s="33" t="s">
        <v>159</v>
      </c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A17" s="10" t="s">
        <v>129</v>
      </c>
      <c r="B17" s="10" t="s">
        <v>160</v>
      </c>
      <c r="C17" s="10" t="s">
        <v>161</v>
      </c>
      <c r="D17" s="10" t="s">
        <v>133</v>
      </c>
      <c r="E17" s="10" t="s">
        <v>134</v>
      </c>
      <c r="G17" s="10" t="s">
        <v>135</v>
      </c>
    </row>
    <row r="18" customFormat="false" ht="15" hidden="false" customHeight="true" outlineLevel="0" collapsed="false">
      <c r="A18" s="3" t="s">
        <v>239</v>
      </c>
      <c r="B18" s="8" t="n">
        <f aca="false">Wyjaśnienia!$B$56</f>
        <v>90000</v>
      </c>
      <c r="C18" s="34" t="n">
        <v>1</v>
      </c>
      <c r="D18" s="8" t="n">
        <f aca="false">B18*C18</f>
        <v>90000</v>
      </c>
      <c r="E18" s="3" t="s">
        <v>240</v>
      </c>
      <c r="G18" s="26" t="s">
        <v>151</v>
      </c>
    </row>
    <row r="19" customFormat="false" ht="15" hidden="false" customHeight="true" outlineLevel="0" collapsed="false">
      <c r="A19" s="3" t="s">
        <v>175</v>
      </c>
      <c r="B19" s="8" t="n">
        <f aca="false">Wyjaśnienia!$B$57</f>
        <v>12000</v>
      </c>
      <c r="C19" s="34" t="n">
        <v>1</v>
      </c>
      <c r="D19" s="8" t="n">
        <f aca="false">B19*C19</f>
        <v>12000</v>
      </c>
      <c r="E19" s="3" t="s">
        <v>176</v>
      </c>
      <c r="G19" s="26" t="s">
        <v>151</v>
      </c>
    </row>
    <row r="20" customFormat="false" ht="15" hidden="false" customHeight="true" outlineLevel="0" collapsed="false">
      <c r="A20" s="3" t="s">
        <v>212</v>
      </c>
      <c r="B20" s="8" t="n">
        <f aca="false">Wyjaśnienia!$B$58</f>
        <v>1200</v>
      </c>
      <c r="C20" s="34" t="n">
        <v>1</v>
      </c>
      <c r="D20" s="8" t="n">
        <f aca="false">B20*C20</f>
        <v>1200</v>
      </c>
      <c r="E20" s="3" t="s">
        <v>213</v>
      </c>
      <c r="G20" s="26" t="s">
        <v>151</v>
      </c>
    </row>
    <row r="21" customFormat="false" ht="15" hidden="false" customHeight="true" outlineLevel="0" collapsed="false">
      <c r="A21" s="3" t="s">
        <v>241</v>
      </c>
      <c r="B21" s="18" t="n">
        <v>0</v>
      </c>
      <c r="C21" s="34" t="n">
        <v>1</v>
      </c>
      <c r="D21" s="8" t="n">
        <f aca="false">B21*C21</f>
        <v>0</v>
      </c>
      <c r="E21" s="3" t="s">
        <v>242</v>
      </c>
      <c r="G21" s="26" t="s">
        <v>151</v>
      </c>
    </row>
    <row r="22" customFormat="false" ht="15" hidden="false" customHeight="true" outlineLevel="0" collapsed="false">
      <c r="A22" s="3" t="s">
        <v>171</v>
      </c>
      <c r="B22" s="18" t="n">
        <v>0</v>
      </c>
      <c r="C22" s="34" t="n">
        <v>1</v>
      </c>
      <c r="D22" s="8" t="n">
        <f aca="false">B22*C22</f>
        <v>0</v>
      </c>
      <c r="E22" s="3" t="s">
        <v>243</v>
      </c>
      <c r="G22" s="26" t="s">
        <v>138</v>
      </c>
    </row>
    <row r="23" customFormat="false" ht="15" hidden="false" customHeight="true" outlineLevel="0" collapsed="false">
      <c r="A23" s="3" t="s">
        <v>244</v>
      </c>
      <c r="B23" s="8" t="n">
        <f aca="false">Wyjaśnienia!$B$63*2</f>
        <v>800</v>
      </c>
      <c r="C23" s="34" t="n">
        <f aca="false">Wyjaśnienia!$B$62</f>
        <v>10</v>
      </c>
      <c r="D23" s="8" t="n">
        <f aca="false">B23*C23</f>
        <v>8000</v>
      </c>
      <c r="E23" s="3" t="s">
        <v>245</v>
      </c>
      <c r="G23" s="26" t="s">
        <v>151</v>
      </c>
    </row>
    <row r="24" customFormat="false" ht="15" hidden="false" customHeight="true" outlineLevel="0" collapsed="false">
      <c r="A24" s="3" t="s">
        <v>99</v>
      </c>
      <c r="B24" s="8" t="n">
        <f aca="false">Wyjaśnienia!$B$64</f>
        <v>3000</v>
      </c>
      <c r="C24" s="34" t="n">
        <v>1</v>
      </c>
      <c r="D24" s="8" t="n">
        <f aca="false">B24*C24</f>
        <v>3000</v>
      </c>
      <c r="E24" s="3" t="s">
        <v>246</v>
      </c>
      <c r="G24" s="26" t="s">
        <v>151</v>
      </c>
    </row>
    <row r="25" customFormat="false" ht="15" hidden="false" customHeight="true" outlineLevel="0" collapsed="false">
      <c r="A25" s="3" t="s">
        <v>247</v>
      </c>
      <c r="B25" s="18" t="n">
        <v>8000</v>
      </c>
      <c r="C25" s="34" t="n">
        <v>1</v>
      </c>
      <c r="D25" s="8" t="n">
        <f aca="false">B25*C25</f>
        <v>8000</v>
      </c>
      <c r="E25" s="3" t="s">
        <v>248</v>
      </c>
      <c r="G25" s="26" t="s">
        <v>151</v>
      </c>
    </row>
    <row r="26" customFormat="false" ht="15" hidden="false" customHeight="true" outlineLevel="0" collapsed="false">
      <c r="A26" s="3" t="s">
        <v>249</v>
      </c>
      <c r="B26" s="18" t="n">
        <v>0</v>
      </c>
      <c r="C26" s="34" t="n">
        <v>1</v>
      </c>
      <c r="D26" s="8" t="n">
        <f aca="false">B26*C26</f>
        <v>0</v>
      </c>
      <c r="E26" s="3" t="s">
        <v>250</v>
      </c>
      <c r="G26" s="26" t="s">
        <v>138</v>
      </c>
    </row>
    <row r="27" customFormat="false" ht="15" hidden="false" customHeight="true" outlineLevel="0" collapsed="false">
      <c r="A27" s="3" t="s">
        <v>251</v>
      </c>
      <c r="B27" s="18" t="n">
        <v>0</v>
      </c>
      <c r="C27" s="34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252</v>
      </c>
      <c r="B28" s="18" t="n">
        <v>0</v>
      </c>
      <c r="C28" s="34" t="n">
        <v>1</v>
      </c>
      <c r="D28" s="8" t="n">
        <f aca="false">B28*C28</f>
        <v>0</v>
      </c>
      <c r="E28" s="3" t="s">
        <v>253</v>
      </c>
      <c r="G28" s="26" t="s">
        <v>151</v>
      </c>
    </row>
    <row r="29" customFormat="false" ht="15" hidden="false" customHeight="true" outlineLevel="0" collapsed="false">
      <c r="A29" s="3" t="s">
        <v>183</v>
      </c>
      <c r="B29" s="18" t="n">
        <v>3000</v>
      </c>
      <c r="C29" s="34" t="n">
        <v>1</v>
      </c>
      <c r="D29" s="8" t="n">
        <f aca="false">B29*C29</f>
        <v>3000</v>
      </c>
      <c r="E29" s="3" t="s">
        <v>184</v>
      </c>
    </row>
    <row r="30" customFormat="false" ht="15" hidden="false" customHeight="true" outlineLevel="0" collapsed="false">
      <c r="A30" s="10" t="s">
        <v>185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33" t="s">
        <v>186</v>
      </c>
      <c r="B32" s="33"/>
      <c r="C32" s="33"/>
      <c r="D32" s="33"/>
      <c r="E32" s="33"/>
      <c r="F32" s="33"/>
      <c r="G32" s="33"/>
    </row>
    <row r="33" customFormat="false" ht="15" hidden="false" customHeight="true" outlineLevel="0" collapsed="false">
      <c r="A33" s="3" t="s">
        <v>187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188</v>
      </c>
      <c r="D34" s="8" t="n">
        <f aca="false">E14</f>
        <v>42900</v>
      </c>
    </row>
    <row r="35" customFormat="false" ht="15" hidden="false" customHeight="true" outlineLevel="0" collapsed="false">
      <c r="A35" s="3" t="s">
        <v>224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190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192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193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194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3" t="s">
        <v>254</v>
      </c>
      <c r="B41" s="33"/>
      <c r="C41" s="33"/>
      <c r="D41" s="33"/>
      <c r="E41" s="33"/>
      <c r="F41" s="33"/>
      <c r="G41" s="33"/>
    </row>
    <row r="42" customFormat="false" ht="15" hidden="false" customHeight="true" outlineLevel="0" collapsed="false">
      <c r="A42" s="29" t="s">
        <v>255</v>
      </c>
      <c r="B42" s="29"/>
      <c r="C42" s="29"/>
      <c r="D42" s="29"/>
      <c r="E42" s="29"/>
      <c r="F42" s="29"/>
      <c r="G42" s="29"/>
    </row>
    <row r="43" customFormat="false" ht="15" hidden="false" customHeight="true" outlineLevel="0" collapsed="false">
      <c r="A43" s="10" t="s">
        <v>129</v>
      </c>
      <c r="B43" s="10" t="s">
        <v>160</v>
      </c>
      <c r="C43" s="10" t="s">
        <v>161</v>
      </c>
      <c r="D43" s="10" t="s">
        <v>133</v>
      </c>
      <c r="E43" s="10" t="s">
        <v>134</v>
      </c>
      <c r="G43" s="10" t="s">
        <v>135</v>
      </c>
    </row>
    <row r="44" customFormat="false" ht="15" hidden="false" customHeight="true" outlineLevel="0" collapsed="false">
      <c r="A44" s="3" t="s">
        <v>256</v>
      </c>
      <c r="B44" s="8" t="n">
        <v>0</v>
      </c>
      <c r="C44" s="34" t="n">
        <v>1</v>
      </c>
      <c r="D44" s="8" t="n">
        <f aca="false">B44*C44</f>
        <v>0</v>
      </c>
      <c r="E44" s="3" t="s">
        <v>257</v>
      </c>
    </row>
    <row r="45" customFormat="false" ht="15" hidden="false" customHeight="true" outlineLevel="0" collapsed="false">
      <c r="A45" s="3" t="s">
        <v>258</v>
      </c>
      <c r="B45" s="8" t="n">
        <f aca="false">Wyjaśnienia!$B$17</f>
        <v>220</v>
      </c>
      <c r="C45" s="34" t="n">
        <v>20</v>
      </c>
      <c r="D45" s="8" t="n">
        <f aca="false">B45*C45</f>
        <v>4400</v>
      </c>
      <c r="E45" s="3" t="s">
        <v>259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12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260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261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262</v>
      </c>
      <c r="B7" s="21" t="n">
        <v>0</v>
      </c>
      <c r="C7" s="21" t="n">
        <v>12</v>
      </c>
      <c r="D7" s="34" t="n">
        <f aca="false">B7+C7*Wyjaśnienia!$B$68/60</f>
        <v>30</v>
      </c>
      <c r="E7" s="8" t="n">
        <f aca="false">D7*Wyjaśnienia!$B$17</f>
        <v>6600</v>
      </c>
      <c r="F7" s="3" t="s">
        <v>263</v>
      </c>
      <c r="G7" s="26" t="s">
        <v>138</v>
      </c>
    </row>
    <row r="8" customFormat="false" ht="15" hidden="false" customHeight="true" outlineLevel="0" collapsed="false">
      <c r="A8" s="3" t="s">
        <v>264</v>
      </c>
      <c r="B8" s="21" t="n">
        <v>5</v>
      </c>
      <c r="C8" s="21" t="n">
        <v>8</v>
      </c>
      <c r="D8" s="34" t="n">
        <f aca="false">B8+C8*Wyjaśnienia!$B$68/60</f>
        <v>25</v>
      </c>
      <c r="E8" s="8" t="n">
        <f aca="false">D8*Wyjaśnienia!$B$17</f>
        <v>5500</v>
      </c>
      <c r="F8" s="3" t="s">
        <v>265</v>
      </c>
      <c r="G8" s="26" t="s">
        <v>138</v>
      </c>
    </row>
    <row r="9" customFormat="false" ht="15" hidden="false" customHeight="true" outlineLevel="0" collapsed="false">
      <c r="A9" s="3" t="s">
        <v>266</v>
      </c>
      <c r="B9" s="21" t="n">
        <v>60</v>
      </c>
      <c r="C9" s="21"/>
      <c r="D9" s="34" t="n">
        <f aca="false">B9+C9*Wyjaśnienia!$B$68/60</f>
        <v>60</v>
      </c>
      <c r="E9" s="8" t="n">
        <f aca="false">D9*Wyjaśnienia!$B$17</f>
        <v>13200</v>
      </c>
      <c r="F9" s="3" t="s">
        <v>267</v>
      </c>
      <c r="G9" s="26" t="s">
        <v>151</v>
      </c>
    </row>
    <row r="10" customFormat="false" ht="15" hidden="false" customHeight="true" outlineLevel="0" collapsed="false">
      <c r="A10" s="3" t="s">
        <v>202</v>
      </c>
      <c r="B10" s="21" t="n">
        <v>20</v>
      </c>
      <c r="C10" s="21"/>
      <c r="D10" s="34" t="n">
        <f aca="false">B10+C10*Wyjaśnienia!$B$68/60</f>
        <v>20</v>
      </c>
      <c r="E10" s="8" t="n">
        <f aca="false">D10*Wyjaśnienia!$B$17</f>
        <v>4400</v>
      </c>
      <c r="F10" s="3" t="s">
        <v>230</v>
      </c>
      <c r="G10" s="26" t="s">
        <v>151</v>
      </c>
    </row>
    <row r="11" customFormat="false" ht="15" hidden="false" customHeight="true" outlineLevel="0" collapsed="false">
      <c r="A11" s="3" t="s">
        <v>268</v>
      </c>
      <c r="B11" s="21" t="n">
        <v>40</v>
      </c>
      <c r="C11" s="21"/>
      <c r="D11" s="34" t="n">
        <f aca="false">B11+C11*Wyjaśnienia!$B$68/60</f>
        <v>40</v>
      </c>
      <c r="E11" s="8" t="n">
        <f aca="false">D11*Wyjaśnienia!$B$17</f>
        <v>8800</v>
      </c>
      <c r="F11" s="3" t="s">
        <v>269</v>
      </c>
      <c r="G11" s="26" t="s">
        <v>151</v>
      </c>
    </row>
    <row r="12" customFormat="false" ht="15" hidden="false" customHeight="true" outlineLevel="0" collapsed="false">
      <c r="A12" s="3" t="s">
        <v>270</v>
      </c>
      <c r="B12" s="21" t="n">
        <v>40</v>
      </c>
      <c r="C12" s="21"/>
      <c r="D12" s="34" t="n">
        <f aca="false">B12+C12*Wyjaśnienia!$B$68/60</f>
        <v>40</v>
      </c>
      <c r="E12" s="8" t="n">
        <f aca="false">D12*Wyjaśnienia!$B$17</f>
        <v>8800</v>
      </c>
      <c r="F12" s="3" t="s">
        <v>271</v>
      </c>
      <c r="G12" s="26" t="s">
        <v>151</v>
      </c>
    </row>
    <row r="13" customFormat="false" ht="15" hidden="false" customHeight="true" outlineLevel="0" collapsed="false">
      <c r="A13" s="3" t="s">
        <v>272</v>
      </c>
      <c r="B13" s="21" t="n">
        <v>25</v>
      </c>
      <c r="C13" s="21"/>
      <c r="D13" s="34" t="n">
        <f aca="false">B13+C13*Wyjaśnienia!$B$68/60</f>
        <v>25</v>
      </c>
      <c r="E13" s="8" t="n">
        <f aca="false">D13*Wyjaśnienia!$B$17</f>
        <v>5500</v>
      </c>
      <c r="F13" s="3" t="s">
        <v>273</v>
      </c>
      <c r="G13" s="26" t="s">
        <v>138</v>
      </c>
    </row>
    <row r="14" customFormat="false" ht="15" hidden="false" customHeight="true" outlineLevel="0" collapsed="false">
      <c r="A14" s="3" t="s">
        <v>274</v>
      </c>
      <c r="B14" s="21" t="n">
        <v>50</v>
      </c>
      <c r="C14" s="21"/>
      <c r="D14" s="34" t="n">
        <f aca="false">B14+C14*Wyjaśnienia!$B$68/60</f>
        <v>50</v>
      </c>
      <c r="E14" s="8" t="n">
        <f aca="false">D14*Wyjaśnienia!$B$17</f>
        <v>11000</v>
      </c>
      <c r="F14" s="3" t="s">
        <v>275</v>
      </c>
      <c r="G14" s="26" t="s">
        <v>138</v>
      </c>
    </row>
    <row r="15" customFormat="false" ht="15" hidden="false" customHeight="true" outlineLevel="0" collapsed="false">
      <c r="A15" s="10" t="s">
        <v>158</v>
      </c>
      <c r="B15" s="21"/>
      <c r="C15" s="21"/>
      <c r="D15" s="35" t="n">
        <f aca="false">SUM(D7:D14)</f>
        <v>290</v>
      </c>
      <c r="E15" s="11" t="n">
        <f aca="false">SUM(E7:E14)</f>
        <v>63800</v>
      </c>
      <c r="F15" s="3" t="s">
        <v>276</v>
      </c>
    </row>
    <row r="17" customFormat="false" ht="15" hidden="false" customHeight="true" outlineLevel="0" collapsed="false">
      <c r="A17" s="33" t="s">
        <v>159</v>
      </c>
      <c r="B17" s="33"/>
      <c r="C17" s="33"/>
      <c r="D17" s="33"/>
      <c r="E17" s="33"/>
      <c r="F17" s="33"/>
      <c r="G17" s="33"/>
    </row>
    <row r="18" customFormat="false" ht="15" hidden="false" customHeight="true" outlineLevel="0" collapsed="false">
      <c r="A18" s="10" t="s">
        <v>129</v>
      </c>
      <c r="B18" s="10" t="s">
        <v>160</v>
      </c>
      <c r="C18" s="10" t="s">
        <v>161</v>
      </c>
      <c r="D18" s="10" t="s">
        <v>133</v>
      </c>
      <c r="E18" s="10" t="s">
        <v>134</v>
      </c>
      <c r="G18" s="10" t="s">
        <v>135</v>
      </c>
    </row>
    <row r="19" customFormat="false" ht="15" hidden="false" customHeight="true" outlineLevel="0" collapsed="false">
      <c r="A19" s="3" t="s">
        <v>277</v>
      </c>
      <c r="B19" s="8" t="n">
        <f aca="false">Wyjaśnienia!$B$69</f>
        <v>180000</v>
      </c>
      <c r="C19" s="34" t="n">
        <v>1</v>
      </c>
      <c r="D19" s="8" t="n">
        <f aca="false">B19*C19</f>
        <v>180000</v>
      </c>
      <c r="E19" s="3" t="s">
        <v>278</v>
      </c>
      <c r="G19" s="26" t="s">
        <v>151</v>
      </c>
    </row>
    <row r="20" customFormat="false" ht="15" hidden="false" customHeight="true" outlineLevel="0" collapsed="false">
      <c r="A20" s="3" t="s">
        <v>175</v>
      </c>
      <c r="B20" s="8" t="n">
        <f aca="false">Wyjaśnienia!$B$70</f>
        <v>12000</v>
      </c>
      <c r="C20" s="34" t="n">
        <v>1</v>
      </c>
      <c r="D20" s="8" t="n">
        <f aca="false">B20*C20</f>
        <v>12000</v>
      </c>
      <c r="E20" s="3" t="s">
        <v>176</v>
      </c>
      <c r="G20" s="26" t="s">
        <v>151</v>
      </c>
    </row>
    <row r="21" customFormat="false" ht="15" hidden="false" customHeight="true" outlineLevel="0" collapsed="false">
      <c r="A21" s="3" t="s">
        <v>212</v>
      </c>
      <c r="B21" s="8" t="n">
        <f aca="false">Wyjaśnienia!$B$71</f>
        <v>1200</v>
      </c>
      <c r="C21" s="34" t="n">
        <v>1</v>
      </c>
      <c r="D21" s="8" t="n">
        <f aca="false">B21*C21</f>
        <v>1200</v>
      </c>
      <c r="E21" s="3" t="s">
        <v>279</v>
      </c>
      <c r="G21" s="26" t="s">
        <v>151</v>
      </c>
    </row>
    <row r="22" customFormat="false" ht="15" hidden="false" customHeight="true" outlineLevel="0" collapsed="false">
      <c r="A22" s="3" t="s">
        <v>280</v>
      </c>
      <c r="B22" s="8" t="n">
        <v>0</v>
      </c>
      <c r="C22" s="34" t="n">
        <v>1</v>
      </c>
      <c r="D22" s="8" t="n">
        <f aca="false">B22*C22</f>
        <v>0</v>
      </c>
      <c r="E22" s="3" t="s">
        <v>281</v>
      </c>
      <c r="G22" s="26" t="s">
        <v>151</v>
      </c>
    </row>
    <row r="23" customFormat="false" ht="15" hidden="false" customHeight="true" outlineLevel="0" collapsed="false">
      <c r="A23" s="3" t="s">
        <v>171</v>
      </c>
      <c r="B23" s="8" t="n">
        <v>0</v>
      </c>
      <c r="C23" s="34" t="n">
        <v>1</v>
      </c>
      <c r="D23" s="8" t="n">
        <f aca="false">B23*C23</f>
        <v>0</v>
      </c>
      <c r="E23" s="3" t="s">
        <v>243</v>
      </c>
      <c r="G23" s="26" t="s">
        <v>138</v>
      </c>
    </row>
    <row r="24" customFormat="false" ht="15" hidden="false" customHeight="true" outlineLevel="0" collapsed="false">
      <c r="A24" s="3" t="s">
        <v>282</v>
      </c>
      <c r="B24" s="8" t="n">
        <v>0</v>
      </c>
      <c r="C24" s="34" t="n">
        <v>1</v>
      </c>
      <c r="D24" s="8" t="n">
        <f aca="false">B24*C24</f>
        <v>0</v>
      </c>
      <c r="E24" s="3" t="s">
        <v>283</v>
      </c>
      <c r="G24" s="26" t="s">
        <v>151</v>
      </c>
    </row>
    <row r="25" customFormat="false" ht="15" hidden="false" customHeight="true" outlineLevel="0" collapsed="false">
      <c r="A25" s="3" t="s">
        <v>284</v>
      </c>
      <c r="B25" s="8" t="n">
        <v>12000</v>
      </c>
      <c r="C25" s="34" t="n">
        <v>1</v>
      </c>
      <c r="D25" s="8" t="n">
        <f aca="false">B25*C25</f>
        <v>12000</v>
      </c>
      <c r="E25" s="3" t="s">
        <v>285</v>
      </c>
      <c r="G25" s="26" t="s">
        <v>151</v>
      </c>
    </row>
    <row r="26" customFormat="false" ht="15" hidden="false" customHeight="true" outlineLevel="0" collapsed="false">
      <c r="A26" s="3" t="s">
        <v>251</v>
      </c>
      <c r="B26" s="8" t="n">
        <v>0</v>
      </c>
      <c r="C26" s="34" t="n">
        <v>1</v>
      </c>
      <c r="D26" s="8" t="n">
        <f aca="false">B26*C26</f>
        <v>0</v>
      </c>
      <c r="E26" s="3" t="s">
        <v>223</v>
      </c>
      <c r="G26" s="26" t="s">
        <v>151</v>
      </c>
    </row>
    <row r="27" customFormat="false" ht="15" hidden="false" customHeight="true" outlineLevel="0" collapsed="false">
      <c r="A27" s="3" t="s">
        <v>286</v>
      </c>
      <c r="B27" s="8" t="n">
        <v>0</v>
      </c>
      <c r="C27" s="34" t="n">
        <v>1</v>
      </c>
      <c r="D27" s="8" t="n">
        <f aca="false">B27*C27</f>
        <v>0</v>
      </c>
      <c r="E27" s="3" t="s">
        <v>287</v>
      </c>
      <c r="G27" s="26" t="s">
        <v>138</v>
      </c>
    </row>
    <row r="28" customFormat="false" ht="15" hidden="false" customHeight="true" outlineLevel="0" collapsed="false">
      <c r="A28" s="3" t="s">
        <v>183</v>
      </c>
      <c r="B28" s="8" t="n">
        <v>3000</v>
      </c>
      <c r="C28" s="34" t="n">
        <v>1</v>
      </c>
      <c r="D28" s="8" t="n">
        <f aca="false">B28*C28</f>
        <v>3000</v>
      </c>
      <c r="E28" s="3" t="s">
        <v>184</v>
      </c>
    </row>
    <row r="29" customFormat="false" ht="15" hidden="false" customHeight="true" outlineLevel="0" collapsed="false">
      <c r="A29" s="10" t="s">
        <v>185</v>
      </c>
      <c r="B29" s="8"/>
      <c r="C29" s="34"/>
      <c r="D29" s="11" t="n">
        <f aca="false">SUM(D19:D28)</f>
        <v>208200</v>
      </c>
    </row>
    <row r="30" customFormat="false" ht="15" hidden="false" customHeight="true" outlineLevel="0" collapsed="false"/>
    <row r="31" customFormat="false" ht="15" hidden="false" customHeight="true" outlineLevel="0" collapsed="false">
      <c r="A31" s="33" t="s">
        <v>186</v>
      </c>
      <c r="B31" s="33"/>
      <c r="C31" s="33"/>
      <c r="D31" s="33"/>
      <c r="E31" s="33"/>
      <c r="F31" s="33"/>
      <c r="G31" s="33"/>
    </row>
    <row r="32" customFormat="false" ht="15" hidden="false" customHeight="true" outlineLevel="0" collapsed="false">
      <c r="A32" s="3" t="s">
        <v>187</v>
      </c>
      <c r="D32" s="8" t="n">
        <f aca="false">Wyjaśnienia!$B$69+Wyjaśnienia!$B$70</f>
        <v>192000</v>
      </c>
    </row>
    <row r="33" customFormat="false" ht="15" hidden="false" customHeight="true" outlineLevel="0" collapsed="false">
      <c r="A33" s="3" t="s">
        <v>188</v>
      </c>
      <c r="D33" s="8" t="n">
        <f aca="false">E15</f>
        <v>63800</v>
      </c>
    </row>
    <row r="34" customFormat="false" ht="15" hidden="false" customHeight="true" outlineLevel="0" collapsed="false">
      <c r="A34" s="3" t="s">
        <v>224</v>
      </c>
      <c r="D34" s="8" t="n">
        <f aca="false">D29-D32</f>
        <v>16200</v>
      </c>
    </row>
    <row r="35" customFormat="false" ht="15" hidden="false" customHeight="true" outlineLevel="0" collapsed="false">
      <c r="A35" s="3" t="s">
        <v>190</v>
      </c>
      <c r="D35" s="8" t="n">
        <f aca="false">(D33+D34)*Wyjaśnienia!$B$76</f>
        <v>9600</v>
      </c>
    </row>
    <row r="36" customFormat="false" ht="15" hidden="false" customHeight="true" outlineLevel="0" collapsed="false">
      <c r="A36" s="10" t="s">
        <v>192</v>
      </c>
      <c r="D36" s="11" t="n">
        <f aca="false">SUM(D32:D35)</f>
        <v>281600</v>
      </c>
    </row>
    <row r="37" customFormat="false" ht="15" hidden="false" customHeight="true" outlineLevel="0" collapsed="false">
      <c r="A37" s="3" t="s">
        <v>193</v>
      </c>
      <c r="D37" s="8" t="n">
        <f aca="false">D36*Wyjaśnienia!$B$35</f>
        <v>64768</v>
      </c>
    </row>
    <row r="38" customFormat="false" ht="15" hidden="false" customHeight="true" outlineLevel="0" collapsed="false">
      <c r="A38" s="10" t="s">
        <v>194</v>
      </c>
      <c r="D38" s="11" t="n">
        <f aca="false">D36+D37</f>
        <v>346368</v>
      </c>
    </row>
  </sheetData>
  <mergeCells count="6">
    <mergeCell ref="A1:G1"/>
    <mergeCell ref="A2:G2"/>
    <mergeCell ref="A3:G3"/>
    <mergeCell ref="A5:G5"/>
    <mergeCell ref="A17:G17"/>
    <mergeCell ref="A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6" t="s">
        <v>14</v>
      </c>
      <c r="B1" s="36"/>
      <c r="C1" s="36"/>
      <c r="D1" s="36"/>
      <c r="E1" s="36"/>
      <c r="F1" s="36"/>
      <c r="G1" s="36"/>
    </row>
    <row r="2" customFormat="false" ht="15" hidden="false" customHeight="true" outlineLevel="0" collapsed="false">
      <c r="A2" s="37" t="s">
        <v>288</v>
      </c>
      <c r="B2" s="37"/>
      <c r="C2" s="37"/>
      <c r="D2" s="37"/>
      <c r="E2" s="37"/>
      <c r="F2" s="37"/>
      <c r="G2" s="37"/>
    </row>
    <row r="3" customFormat="false" ht="15" hidden="false" customHeight="true" outlineLevel="0" collapsed="false">
      <c r="A3" s="37" t="s">
        <v>289</v>
      </c>
      <c r="B3" s="37"/>
      <c r="C3" s="37"/>
      <c r="D3" s="37"/>
      <c r="E3" s="37"/>
      <c r="F3" s="37"/>
      <c r="G3" s="37"/>
    </row>
    <row r="5" customFormat="false" ht="15" hidden="false" customHeight="true" outlineLevel="0" collapsed="false">
      <c r="A5" s="17" t="s">
        <v>290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8" t="s">
        <v>129</v>
      </c>
      <c r="B6" s="39" t="s">
        <v>291</v>
      </c>
      <c r="F6" s="38" t="s">
        <v>134</v>
      </c>
    </row>
    <row r="7" customFormat="false" ht="54.75" hidden="false" customHeight="true" outlineLevel="0" collapsed="false">
      <c r="A7" s="31" t="s">
        <v>292</v>
      </c>
      <c r="B7" s="40" t="n">
        <f aca="false">Wyjaśnienia!$B$18</f>
        <v>150</v>
      </c>
      <c r="F7" s="31" t="s">
        <v>293</v>
      </c>
    </row>
    <row r="8" customFormat="false" ht="15" hidden="false" customHeight="true" outlineLevel="0" collapsed="false">
      <c r="A8" s="31" t="s">
        <v>294</v>
      </c>
      <c r="B8" s="40" t="n">
        <f aca="false">Wyjaśnienia!$B$48</f>
        <v>2</v>
      </c>
      <c r="F8" s="31" t="s">
        <v>295</v>
      </c>
    </row>
    <row r="9" customFormat="false" ht="15" hidden="false" customHeight="true" outlineLevel="0" collapsed="false">
      <c r="A9" s="38" t="s">
        <v>296</v>
      </c>
      <c r="B9" s="41" t="n">
        <f aca="false">B7*B8</f>
        <v>300</v>
      </c>
      <c r="F9" s="31" t="s">
        <v>297</v>
      </c>
    </row>
    <row r="10" customFormat="false" ht="54.75" hidden="false" customHeight="true" outlineLevel="0" collapsed="false">
      <c r="A10" s="31" t="s">
        <v>298</v>
      </c>
      <c r="B10" s="40" t="n">
        <f aca="false">Wyjaśnienia!$B$68</f>
        <v>150</v>
      </c>
      <c r="F10" s="31" t="s">
        <v>299</v>
      </c>
    </row>
    <row r="11" customFormat="false" ht="15" hidden="false" customHeight="true" outlineLevel="0" collapsed="false">
      <c r="A11" s="31" t="s">
        <v>300</v>
      </c>
      <c r="B11" s="40" t="n">
        <f aca="false">Wyjaśnienia!$B$77</f>
        <v>2</v>
      </c>
      <c r="F11" s="31" t="s">
        <v>301</v>
      </c>
    </row>
    <row r="12" customFormat="false" ht="27.75" hidden="false" customHeight="true" outlineLevel="0" collapsed="false">
      <c r="A12" s="38" t="s">
        <v>302</v>
      </c>
      <c r="B12" s="41" t="n">
        <f aca="false">B10*B11</f>
        <v>300</v>
      </c>
      <c r="F12" s="31" t="s">
        <v>303</v>
      </c>
    </row>
    <row r="14" customFormat="false" ht="15" hidden="false" customHeight="true" outlineLevel="0" collapsed="false">
      <c r="A14" s="17" t="s">
        <v>304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8" t="s">
        <v>129</v>
      </c>
      <c r="B15" s="39" t="s">
        <v>305</v>
      </c>
      <c r="C15" s="39" t="s">
        <v>161</v>
      </c>
      <c r="D15" s="39" t="s">
        <v>133</v>
      </c>
      <c r="F15" s="38" t="s">
        <v>134</v>
      </c>
      <c r="G15" s="38" t="s">
        <v>135</v>
      </c>
    </row>
    <row r="16" customFormat="false" ht="15" hidden="false" customHeight="true" outlineLevel="0" collapsed="false">
      <c r="A16" s="31" t="s">
        <v>306</v>
      </c>
      <c r="B16" s="42" t="n">
        <f aca="false">Wyjaśnienia!$B$50</f>
        <v>2500</v>
      </c>
      <c r="C16" s="40" t="n">
        <f aca="false">Wyjaśnienia!$B$51</f>
        <v>15</v>
      </c>
      <c r="D16" s="42" t="n">
        <f aca="false">B16*C16</f>
        <v>37500</v>
      </c>
      <c r="F16" s="31" t="s">
        <v>307</v>
      </c>
      <c r="G16" s="26" t="s">
        <v>138</v>
      </c>
    </row>
    <row r="17" customFormat="false" ht="15" hidden="false" customHeight="true" outlineLevel="0" collapsed="false">
      <c r="A17" s="31" t="s">
        <v>308</v>
      </c>
      <c r="B17" s="42" t="n">
        <f aca="false">Wyjaśnienia!$B$49</f>
        <v>500</v>
      </c>
      <c r="C17" s="40" t="n">
        <f aca="false">ROUNDUP(B9/100,0)</f>
        <v>3</v>
      </c>
      <c r="D17" s="42" t="n">
        <f aca="false">B17*C17</f>
        <v>1500</v>
      </c>
      <c r="F17" s="31" t="s">
        <v>309</v>
      </c>
      <c r="G17" s="26" t="s">
        <v>138</v>
      </c>
    </row>
    <row r="18" customFormat="false" ht="41.25" hidden="false" customHeight="true" outlineLevel="0" collapsed="false">
      <c r="A18" s="31" t="s">
        <v>310</v>
      </c>
      <c r="B18" s="42" t="n">
        <f aca="false">Wyjaśnienia!$B$78</f>
        <v>300</v>
      </c>
      <c r="C18" s="40" t="n">
        <f aca="false">B12</f>
        <v>300</v>
      </c>
      <c r="D18" s="42" t="n">
        <f aca="false">B18*C18</f>
        <v>90000</v>
      </c>
      <c r="F18" s="31" t="s">
        <v>311</v>
      </c>
      <c r="G18" s="26" t="s">
        <v>151</v>
      </c>
    </row>
    <row r="19" customFormat="false" ht="15" hidden="false" customHeight="true" outlineLevel="0" collapsed="false">
      <c r="A19" s="38" t="s">
        <v>312</v>
      </c>
      <c r="D19" s="43" t="n">
        <f aca="false">SUM(D16:D18)</f>
        <v>129000</v>
      </c>
    </row>
    <row r="21" customFormat="false" ht="15" hidden="false" customHeight="true" outlineLevel="0" collapsed="false">
      <c r="A21" s="17" t="s">
        <v>159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8" t="s">
        <v>129</v>
      </c>
      <c r="B22" s="39" t="s">
        <v>160</v>
      </c>
      <c r="C22" s="39" t="s">
        <v>161</v>
      </c>
      <c r="D22" s="39" t="s">
        <v>133</v>
      </c>
      <c r="F22" s="38" t="s">
        <v>134</v>
      </c>
      <c r="G22" s="38" t="s">
        <v>135</v>
      </c>
    </row>
    <row r="23" customFormat="false" ht="15" hidden="false" customHeight="true" outlineLevel="0" collapsed="false">
      <c r="A23" s="31" t="s">
        <v>313</v>
      </c>
      <c r="B23" s="42" t="n">
        <v>2000</v>
      </c>
      <c r="C23" s="40" t="n">
        <v>1</v>
      </c>
      <c r="D23" s="42" t="n">
        <f aca="false">B23*C23</f>
        <v>2000</v>
      </c>
      <c r="F23" s="31" t="s">
        <v>314</v>
      </c>
      <c r="G23" s="26" t="s">
        <v>138</v>
      </c>
    </row>
    <row r="24" customFormat="false" ht="27.75" hidden="false" customHeight="true" outlineLevel="0" collapsed="false">
      <c r="A24" s="31" t="s">
        <v>315</v>
      </c>
      <c r="B24" s="42" t="n">
        <v>3000</v>
      </c>
      <c r="C24" s="40" t="n">
        <v>1</v>
      </c>
      <c r="D24" s="42" t="n">
        <f aca="false">B24*C24</f>
        <v>3000</v>
      </c>
      <c r="F24" s="31" t="s">
        <v>316</v>
      </c>
      <c r="G24" s="26" t="s">
        <v>138</v>
      </c>
    </row>
    <row r="25" customFormat="false" ht="54.75" hidden="false" customHeight="true" outlineLevel="0" collapsed="false">
      <c r="A25" s="31" t="s">
        <v>317</v>
      </c>
      <c r="B25" s="42" t="n">
        <v>5000</v>
      </c>
      <c r="C25" s="40" t="n">
        <v>1</v>
      </c>
      <c r="D25" s="42" t="n">
        <f aca="false">B25*C25</f>
        <v>5000</v>
      </c>
      <c r="F25" s="31" t="s">
        <v>318</v>
      </c>
      <c r="G25" s="26" t="s">
        <v>138</v>
      </c>
    </row>
    <row r="26" customFormat="false" ht="41.25" hidden="false" customHeight="true" outlineLevel="0" collapsed="false">
      <c r="A26" s="31" t="s">
        <v>319</v>
      </c>
      <c r="B26" s="42" t="n">
        <v>4000</v>
      </c>
      <c r="C26" s="40" t="n">
        <v>1</v>
      </c>
      <c r="D26" s="42" t="n">
        <f aca="false">B26*C26</f>
        <v>4000</v>
      </c>
      <c r="F26" s="31" t="s">
        <v>320</v>
      </c>
      <c r="G26" s="26" t="s">
        <v>138</v>
      </c>
    </row>
    <row r="27" customFormat="false" ht="15" hidden="false" customHeight="true" outlineLevel="0" collapsed="false">
      <c r="A27" s="38" t="s">
        <v>185</v>
      </c>
      <c r="D27" s="43" t="n">
        <f aca="false">SUM(D23:D26)</f>
        <v>14000</v>
      </c>
    </row>
    <row r="29" customFormat="false" ht="15" hidden="false" customHeight="true" outlineLevel="0" collapsed="false">
      <c r="A29" s="17" t="s">
        <v>186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321</v>
      </c>
      <c r="D30" s="42" t="n">
        <f aca="false">D19</f>
        <v>129000</v>
      </c>
    </row>
    <row r="31" customFormat="false" ht="15" hidden="false" customHeight="true" outlineLevel="0" collapsed="false">
      <c r="A31" s="31" t="s">
        <v>189</v>
      </c>
      <c r="D31" s="42" t="n">
        <f aca="false">D27</f>
        <v>14000</v>
      </c>
    </row>
    <row r="32" customFormat="false" ht="15" hidden="false" customHeight="true" outlineLevel="0" collapsed="false">
      <c r="A32" s="31" t="s">
        <v>322</v>
      </c>
      <c r="D32" s="42" t="n">
        <f aca="false">(D30+D31)*Wyjaśnienia!$B$32</f>
        <v>17160</v>
      </c>
    </row>
    <row r="33" customFormat="false" ht="15" hidden="false" customHeight="true" outlineLevel="0" collapsed="false">
      <c r="A33" s="38" t="s">
        <v>192</v>
      </c>
      <c r="D33" s="43" t="n">
        <f aca="false">SUM(D30:D32)</f>
        <v>160160</v>
      </c>
    </row>
    <row r="34" customFormat="false" ht="15" hidden="false" customHeight="true" outlineLevel="0" collapsed="false">
      <c r="A34" s="31" t="s">
        <v>193</v>
      </c>
      <c r="D34" s="42" t="n">
        <f aca="false">D33*Wyjaśnienia!$B$35</f>
        <v>36836.8</v>
      </c>
    </row>
    <row r="35" customFormat="false" ht="15" hidden="false" customHeight="true" outlineLevel="0" collapsed="false">
      <c r="A35" s="38" t="s">
        <v>194</v>
      </c>
      <c r="D35" s="43" t="n">
        <f aca="false">D33+D34</f>
        <v>196996.8</v>
      </c>
    </row>
    <row r="37" customFormat="false" ht="15" hidden="false" customHeight="true" outlineLevel="0" collapsed="false">
      <c r="A37" s="17" t="s">
        <v>323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7" t="s">
        <v>324</v>
      </c>
      <c r="B38" s="37"/>
      <c r="C38" s="37"/>
      <c r="D38" s="37"/>
      <c r="E38" s="37"/>
      <c r="F38" s="37"/>
      <c r="G38" s="37"/>
    </row>
    <row r="39" customFormat="false" ht="27.75" hidden="false" customHeight="true" outlineLevel="0" collapsed="false">
      <c r="A39" s="39" t="s">
        <v>325</v>
      </c>
      <c r="B39" s="39" t="s">
        <v>326</v>
      </c>
      <c r="C39" s="39" t="s">
        <v>327</v>
      </c>
      <c r="D39" s="39" t="s">
        <v>328</v>
      </c>
      <c r="E39" s="39" t="s">
        <v>329</v>
      </c>
    </row>
    <row r="40" customFormat="false" ht="15" hidden="false" customHeight="true" outlineLevel="0" collapsed="false">
      <c r="A40" s="40" t="n">
        <v>150</v>
      </c>
      <c r="B40" s="40" t="n">
        <f aca="false">A40*Wyjaśnienia!$B$48</f>
        <v>300</v>
      </c>
      <c r="C40" s="40" t="n">
        <f aca="false">ROUNDUP(B40/100,0)</f>
        <v>3</v>
      </c>
      <c r="D40" s="42" t="n">
        <f aca="false">C40*Wyjaśnienia!$B$49</f>
        <v>1500</v>
      </c>
      <c r="E40" s="40" t="n">
        <f aca="false">ROUNDUP(B40*Wyjaśnienia!$B$52/60,0)</f>
        <v>150</v>
      </c>
    </row>
    <row r="41" customFormat="false" ht="15" hidden="false" customHeight="true" outlineLevel="0" collapsed="false">
      <c r="A41" s="40" t="n">
        <v>1000</v>
      </c>
      <c r="B41" s="40" t="n">
        <f aca="false">A41*Wyjaśnienia!$B$48</f>
        <v>2000</v>
      </c>
      <c r="C41" s="40" t="n">
        <f aca="false">ROUNDUP(B41/100,0)</f>
        <v>20</v>
      </c>
      <c r="D41" s="42" t="n">
        <f aca="false">C41*Wyjaśnienia!$B$49</f>
        <v>10000</v>
      </c>
      <c r="E41" s="40" t="n">
        <f aca="false">ROUNDUP(B41*Wyjaśnienia!$B$52/60,0)</f>
        <v>1000</v>
      </c>
    </row>
    <row r="42" customFormat="false" ht="15" hidden="false" customHeight="true" outlineLevel="0" collapsed="false">
      <c r="A42" s="40" t="n">
        <v>10000</v>
      </c>
      <c r="B42" s="40" t="n">
        <f aca="false">A42*Wyjaśnienia!$B$48</f>
        <v>20000</v>
      </c>
      <c r="C42" s="40" t="n">
        <f aca="false">ROUNDUP(B42/100,0)</f>
        <v>200</v>
      </c>
      <c r="D42" s="42" t="n">
        <f aca="false">C42*Wyjaśnienia!$B$49</f>
        <v>100000</v>
      </c>
      <c r="E42" s="40" t="n">
        <f aca="false">ROUNDUP(B42*Wyjaśnienia!$B$52/60,0)</f>
        <v>10000</v>
      </c>
    </row>
    <row r="43" customFormat="false" ht="15" hidden="false" customHeight="true" outlineLevel="0" collapsed="false">
      <c r="A43" s="40" t="n">
        <v>100000</v>
      </c>
      <c r="B43" s="40" t="n">
        <f aca="false">A43*Wyjaśnienia!$B$48</f>
        <v>200000</v>
      </c>
      <c r="C43" s="40" t="n">
        <f aca="false">ROUNDUP(B43/100,0)</f>
        <v>2000</v>
      </c>
      <c r="D43" s="42" t="n">
        <f aca="false">C43*Wyjaśnienia!$B$49</f>
        <v>1000000</v>
      </c>
      <c r="E43" s="40" t="n">
        <f aca="false">ROUNDUP(B43*Wyjaśnienia!$B$52/60,0)</f>
        <v>100000</v>
      </c>
    </row>
    <row r="44" customFormat="false" ht="15" hidden="false" customHeight="true" outlineLevel="0" collapsed="false">
      <c r="A44" s="40" t="n">
        <v>1000000</v>
      </c>
      <c r="B44" s="40" t="n">
        <f aca="false">A44*Wyjaśnienia!$B$48</f>
        <v>2000000</v>
      </c>
      <c r="C44" s="40" t="n">
        <f aca="false">ROUNDUP(B44/100,0)</f>
        <v>20000</v>
      </c>
      <c r="D44" s="42" t="n">
        <f aca="false">C44*Wyjaśnienia!$B$49</f>
        <v>10000000</v>
      </c>
      <c r="E44" s="40" t="n">
        <f aca="false">ROUNDUP(B44*Wyjaśnienia!$B$52/60,0)</f>
        <v>1000000</v>
      </c>
    </row>
    <row r="46" customFormat="false" ht="27.75" hidden="false" customHeight="true" outlineLevel="0" collapsed="false">
      <c r="A46" s="39" t="s">
        <v>330</v>
      </c>
      <c r="B46" s="39" t="s">
        <v>331</v>
      </c>
      <c r="C46" s="39" t="s">
        <v>332</v>
      </c>
      <c r="D46" s="39" t="s">
        <v>333</v>
      </c>
      <c r="E46" s="39" t="s">
        <v>334</v>
      </c>
    </row>
    <row r="47" customFormat="false" ht="15" hidden="false" customHeight="true" outlineLevel="0" collapsed="false">
      <c r="A47" s="40" t="n">
        <v>30</v>
      </c>
      <c r="B47" s="40" t="n">
        <f aca="false">A47*Wyjaśnienia!$B$77</f>
        <v>60</v>
      </c>
      <c r="C47" s="42" t="n">
        <f aca="false">B47*Wyjaśnienia!$B$78</f>
        <v>18000</v>
      </c>
      <c r="D47" s="40" t="n">
        <f aca="false">B47*2</f>
        <v>120</v>
      </c>
      <c r="E47" s="40" t="n">
        <f aca="false">ROUNDUP(B47/Wyjaśnienia!$B$79,0)</f>
        <v>6</v>
      </c>
    </row>
    <row r="48" customFormat="false" ht="15" hidden="false" customHeight="true" outlineLevel="0" collapsed="false">
      <c r="A48" s="40" t="n">
        <v>150</v>
      </c>
      <c r="B48" s="40" t="n">
        <f aca="false">A48*Wyjaśnienia!$B$77</f>
        <v>300</v>
      </c>
      <c r="C48" s="42" t="n">
        <f aca="false">B48*Wyjaśnienia!$B$78</f>
        <v>90000</v>
      </c>
      <c r="D48" s="40" t="n">
        <f aca="false">B48*2</f>
        <v>600</v>
      </c>
      <c r="E48" s="40" t="n">
        <f aca="false">ROUNDUP(B48/Wyjaśnienia!$B$79,0)</f>
        <v>30</v>
      </c>
    </row>
    <row r="49" customFormat="false" ht="15" hidden="false" customHeight="true" outlineLevel="0" collapsed="false">
      <c r="A49" s="40" t="n">
        <v>500</v>
      </c>
      <c r="B49" s="40" t="n">
        <f aca="false">A49*Wyjaśnienia!$B$77</f>
        <v>1000</v>
      </c>
      <c r="C49" s="42" t="n">
        <f aca="false">B49*Wyjaśnienia!$B$78</f>
        <v>300000</v>
      </c>
      <c r="D49" s="40" t="n">
        <f aca="false">B49*2</f>
        <v>2000</v>
      </c>
      <c r="E49" s="40" t="n">
        <f aca="false">ROUNDUP(B49/Wyjaśnienia!$B$79,0)</f>
        <v>100</v>
      </c>
    </row>
    <row r="50" customFormat="false" ht="15" hidden="false" customHeight="true" outlineLevel="0" collapsed="false">
      <c r="A50" s="40" t="n">
        <v>2000</v>
      </c>
      <c r="B50" s="40" t="n">
        <f aca="false">A50*Wyjaśnienia!$B$77</f>
        <v>4000</v>
      </c>
      <c r="C50" s="42" t="n">
        <f aca="false">B50*Wyjaśnienia!$B$78</f>
        <v>1200000</v>
      </c>
      <c r="D50" s="40" t="n">
        <f aca="false">B50*2</f>
        <v>8000</v>
      </c>
      <c r="E50" s="40" t="n">
        <f aca="false">ROUNDUP(B50/Wyjaśnienia!$B$79,0)</f>
        <v>400</v>
      </c>
    </row>
    <row r="51" customFormat="false" ht="15" hidden="false" customHeight="true" outlineLevel="0" collapsed="false">
      <c r="A51" s="40" t="n">
        <v>10000</v>
      </c>
      <c r="B51" s="40" t="n">
        <f aca="false">A51*Wyjaśnienia!$B$77</f>
        <v>20000</v>
      </c>
      <c r="C51" s="42" t="n">
        <f aca="false">B51*Wyjaśnienia!$B$78</f>
        <v>6000000</v>
      </c>
      <c r="D51" s="40" t="n">
        <f aca="false">B51*2</f>
        <v>40000</v>
      </c>
      <c r="E51" s="40" t="n">
        <f aca="false">ROUNDUP(B51/Wyjaśnienia!$B$79,0)</f>
        <v>2000</v>
      </c>
    </row>
    <row r="53" customFormat="false" ht="27.75" hidden="false" customHeight="true" outlineLevel="0" collapsed="false">
      <c r="A53" s="37" t="s">
        <v>335</v>
      </c>
      <c r="B53" s="37"/>
      <c r="C53" s="37"/>
      <c r="D53" s="37"/>
      <c r="E53" s="37"/>
      <c r="F53" s="37"/>
      <c r="G53" s="37"/>
    </row>
    <row r="55" customFormat="false" ht="27.75" hidden="false" customHeight="true" outlineLevel="0" collapsed="false">
      <c r="A55" s="17" t="s">
        <v>336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29" t="s">
        <v>337</v>
      </c>
      <c r="B56" s="29"/>
      <c r="C56" s="29"/>
      <c r="D56" s="29"/>
      <c r="E56" s="29"/>
      <c r="F56" s="29"/>
      <c r="G56" s="29"/>
    </row>
    <row r="57" customFormat="false" ht="15" hidden="false" customHeight="true" outlineLevel="0" collapsed="false">
      <c r="A57" s="38" t="s">
        <v>129</v>
      </c>
      <c r="B57" s="38" t="s">
        <v>305</v>
      </c>
      <c r="C57" s="38" t="s">
        <v>161</v>
      </c>
      <c r="D57" s="38" t="s">
        <v>133</v>
      </c>
      <c r="F57" s="38" t="s">
        <v>134</v>
      </c>
      <c r="G57" s="38" t="s">
        <v>135</v>
      </c>
    </row>
    <row r="58" customFormat="false" ht="68.25" hidden="false" customHeight="true" outlineLevel="0" collapsed="false">
      <c r="A58" s="3" t="s">
        <v>338</v>
      </c>
      <c r="B58" s="42" t="n">
        <v>0</v>
      </c>
      <c r="C58" s="40" t="n">
        <f aca="false">Wyjaśnienia!$B$24*2</f>
        <v>300</v>
      </c>
      <c r="D58" s="42" t="n">
        <f aca="false">B58*C58</f>
        <v>0</v>
      </c>
      <c r="F58" s="31" t="s">
        <v>339</v>
      </c>
      <c r="G58" s="26" t="s">
        <v>138</v>
      </c>
    </row>
    <row r="59" customFormat="false" ht="54.75" hidden="false" customHeight="true" outlineLevel="0" collapsed="false">
      <c r="A59" s="3" t="s">
        <v>340</v>
      </c>
      <c r="B59" s="42" t="n">
        <v>0</v>
      </c>
      <c r="C59" s="40" t="n">
        <f aca="false">Wyjaśnienia!$B$55*2</f>
        <v>300</v>
      </c>
      <c r="D59" s="42" t="n">
        <f aca="false">B59*C59</f>
        <v>0</v>
      </c>
      <c r="F59" s="31" t="s">
        <v>341</v>
      </c>
      <c r="G59" s="26" t="s">
        <v>138</v>
      </c>
    </row>
    <row r="60" customFormat="false" ht="27.75" hidden="false" customHeight="true" outlineLevel="0" collapsed="false">
      <c r="A60" s="3" t="s">
        <v>342</v>
      </c>
      <c r="B60" s="42" t="n">
        <v>0</v>
      </c>
      <c r="C60" s="40" t="s">
        <v>343</v>
      </c>
      <c r="D60" s="42" t="n">
        <f aca="false">B60*C60</f>
        <v>0</v>
      </c>
      <c r="F60" s="31" t="s">
        <v>344</v>
      </c>
      <c r="G60" s="26" t="s">
        <v>138</v>
      </c>
    </row>
    <row r="61" customFormat="false" ht="27.75" hidden="false" customHeight="true" outlineLevel="0" collapsed="false">
      <c r="A61" s="3" t="s">
        <v>345</v>
      </c>
      <c r="B61" s="42" t="n">
        <v>0</v>
      </c>
      <c r="C61" s="40" t="s">
        <v>343</v>
      </c>
      <c r="D61" s="42" t="n">
        <f aca="false">B61*C61</f>
        <v>0</v>
      </c>
      <c r="F61" s="31" t="s">
        <v>346</v>
      </c>
      <c r="G61" s="26" t="s">
        <v>138</v>
      </c>
    </row>
    <row r="62" customFormat="false" ht="15" hidden="false" customHeight="true" outlineLevel="0" collapsed="false">
      <c r="A62" s="38" t="s">
        <v>347</v>
      </c>
      <c r="D62" s="43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348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349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350</v>
      </c>
      <c r="G7" s="26" t="s">
        <v>151</v>
      </c>
      <c r="H7" s="3"/>
    </row>
    <row r="8" customFormat="false" ht="15" hidden="false" customHeight="true" outlineLevel="0" collapsed="false">
      <c r="A8" s="22" t="s">
        <v>351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352</v>
      </c>
      <c r="G8" s="26" t="s">
        <v>151</v>
      </c>
      <c r="H8" s="3"/>
    </row>
    <row r="9" customFormat="false" ht="15" hidden="false" customHeight="true" outlineLevel="0" collapsed="false">
      <c r="A9" s="22" t="s">
        <v>353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354</v>
      </c>
      <c r="G9" s="26" t="s">
        <v>138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4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4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4"/>
      <c r="H12" s="3"/>
    </row>
    <row r="13" customFormat="false" ht="15" hidden="false" customHeight="true" outlineLevel="0" collapsed="false">
      <c r="A13" s="22" t="s">
        <v>355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356</v>
      </c>
      <c r="G13" s="26" t="s">
        <v>138</v>
      </c>
      <c r="H13" s="3"/>
    </row>
    <row r="14" customFormat="false" ht="15" hidden="false" customHeight="true" outlineLevel="0" collapsed="false">
      <c r="A14" s="22" t="s">
        <v>357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138</v>
      </c>
    </row>
    <row r="15" customFormat="false" ht="15" hidden="false" customHeight="true" outlineLevel="0" collapsed="false">
      <c r="A15" s="6" t="s">
        <v>158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159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129</v>
      </c>
      <c r="B18" s="7" t="s">
        <v>160</v>
      </c>
      <c r="C18" s="7" t="s">
        <v>161</v>
      </c>
      <c r="D18" s="7" t="s">
        <v>133</v>
      </c>
      <c r="E18" s="6" t="s">
        <v>134</v>
      </c>
      <c r="F18" s="3"/>
      <c r="G18" s="6" t="s">
        <v>135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4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4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4"/>
      <c r="H21" s="3"/>
    </row>
    <row r="22" customFormat="false" ht="15" hidden="false" customHeight="true" outlineLevel="0" collapsed="false">
      <c r="A22" s="22" t="s">
        <v>358</v>
      </c>
      <c r="B22" s="28" t="n">
        <v>40000</v>
      </c>
      <c r="C22" s="23" t="n">
        <v>1</v>
      </c>
      <c r="D22" s="25" t="n">
        <f aca="false">B22*C22</f>
        <v>40000</v>
      </c>
      <c r="E22" s="13" t="s">
        <v>359</v>
      </c>
      <c r="F22" s="3"/>
      <c r="G22" s="26" t="s">
        <v>151</v>
      </c>
      <c r="H22" s="3"/>
    </row>
    <row r="23" customFormat="false" ht="15" hidden="false" customHeight="true" outlineLevel="0" collapsed="false">
      <c r="A23" s="22" t="s">
        <v>360</v>
      </c>
      <c r="B23" s="28" t="n">
        <v>4000</v>
      </c>
      <c r="C23" s="23" t="n">
        <v>1</v>
      </c>
      <c r="D23" s="25" t="n">
        <f aca="false">B23*C23</f>
        <v>4000</v>
      </c>
      <c r="E23" s="13" t="s">
        <v>361</v>
      </c>
      <c r="F23" s="3"/>
      <c r="G23" s="26" t="s">
        <v>151</v>
      </c>
      <c r="H23" s="3"/>
    </row>
    <row r="24" customFormat="false" ht="15" hidden="false" customHeight="true" outlineLevel="0" collapsed="false">
      <c r="A24" s="22" t="s">
        <v>362</v>
      </c>
      <c r="B24" s="28" t="n">
        <v>3000</v>
      </c>
      <c r="C24" s="23" t="n">
        <v>1</v>
      </c>
      <c r="D24" s="25" t="n">
        <f aca="false">B24*C24</f>
        <v>3000</v>
      </c>
      <c r="E24" s="13" t="s">
        <v>363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364</v>
      </c>
      <c r="B25" s="28" t="n">
        <v>4000</v>
      </c>
      <c r="C25" s="23" t="n">
        <v>1</v>
      </c>
      <c r="D25" s="25" t="n">
        <f aca="false">B25*C25</f>
        <v>4000</v>
      </c>
      <c r="E25" s="13" t="s">
        <v>365</v>
      </c>
      <c r="F25" s="3"/>
      <c r="G25" s="26" t="s">
        <v>151</v>
      </c>
      <c r="H25" s="3"/>
    </row>
    <row r="26" customFormat="false" ht="15" hidden="false" customHeight="true" outlineLevel="0" collapsed="false">
      <c r="A26" s="22" t="s">
        <v>366</v>
      </c>
      <c r="B26" s="28" t="n">
        <v>0</v>
      </c>
      <c r="C26" s="23" t="n">
        <v>1</v>
      </c>
      <c r="D26" s="25" t="n">
        <f aca="false">B26*C26</f>
        <v>0</v>
      </c>
      <c r="E26" s="13" t="s">
        <v>367</v>
      </c>
      <c r="F26" s="3"/>
      <c r="G26" s="26" t="s">
        <v>151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4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4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4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34"/>
    </row>
    <row r="31" customFormat="false" ht="15" hidden="false" customHeight="true" outlineLevel="0" collapsed="false">
      <c r="A31" s="31" t="s">
        <v>368</v>
      </c>
      <c r="B31" s="18" t="n">
        <v>0</v>
      </c>
      <c r="C31" s="32" t="n">
        <v>1</v>
      </c>
      <c r="D31" s="8" t="n">
        <f aca="false">B31*C31</f>
        <v>0</v>
      </c>
      <c r="E31" s="1" t="s">
        <v>369</v>
      </c>
      <c r="F31" s="31"/>
      <c r="G31" s="26" t="s">
        <v>138</v>
      </c>
    </row>
    <row r="32" customFormat="false" ht="15" hidden="false" customHeight="true" outlineLevel="0" collapsed="false">
      <c r="A32" s="31" t="s">
        <v>370</v>
      </c>
      <c r="B32" s="18" t="n">
        <v>40000</v>
      </c>
      <c r="C32" s="32" t="n">
        <v>1</v>
      </c>
      <c r="D32" s="8" t="n">
        <f aca="false">B32*C32</f>
        <v>40000</v>
      </c>
      <c r="E32" s="1" t="s">
        <v>371</v>
      </c>
      <c r="F32" s="31"/>
      <c r="G32" s="26" t="s">
        <v>151</v>
      </c>
    </row>
    <row r="33" customFormat="false" ht="15" hidden="false" customHeight="true" outlineLevel="0" collapsed="false">
      <c r="A33" s="15" t="s">
        <v>185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5" t="s">
        <v>186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372</v>
      </c>
      <c r="B38" s="3"/>
      <c r="C38" s="3"/>
      <c r="D38" s="8" t="n">
        <f aca="false">D36*Wyjaśnienia!$B$33+(D36+D37)*0.1</f>
        <v>23422</v>
      </c>
      <c r="E38" s="3" t="s">
        <v>373</v>
      </c>
      <c r="F38" s="3"/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374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376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377</v>
      </c>
      <c r="G7" s="26" t="s">
        <v>151</v>
      </c>
      <c r="H7" s="3"/>
    </row>
    <row r="8" customFormat="false" ht="15" hidden="false" customHeight="true" outlineLevel="0" collapsed="false">
      <c r="A8" s="6" t="s">
        <v>158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159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129</v>
      </c>
      <c r="B11" s="7" t="s">
        <v>160</v>
      </c>
      <c r="C11" s="7" t="s">
        <v>161</v>
      </c>
      <c r="D11" s="7" t="s">
        <v>133</v>
      </c>
      <c r="E11" s="6" t="s">
        <v>134</v>
      </c>
      <c r="F11" s="3"/>
      <c r="G11" s="6" t="s">
        <v>135</v>
      </c>
      <c r="H11" s="3"/>
    </row>
    <row r="12" customFormat="false" ht="15" hidden="false" customHeight="true" outlineLevel="0" collapsed="false">
      <c r="A12" s="22" t="s">
        <v>378</v>
      </c>
      <c r="B12" s="28" t="n">
        <v>8000</v>
      </c>
      <c r="C12" s="23" t="n">
        <v>1</v>
      </c>
      <c r="D12" s="25" t="n">
        <f aca="false">B12*C12</f>
        <v>8000</v>
      </c>
      <c r="E12" s="13" t="s">
        <v>379</v>
      </c>
      <c r="F12" s="3"/>
      <c r="G12" s="26" t="s">
        <v>151</v>
      </c>
      <c r="H12" s="3"/>
    </row>
    <row r="13" customFormat="false" ht="15" hidden="false" customHeight="true" outlineLevel="0" collapsed="false">
      <c r="A13" s="22" t="s">
        <v>380</v>
      </c>
      <c r="B13" s="28" t="n">
        <v>1500</v>
      </c>
      <c r="C13" s="23" t="n">
        <v>1</v>
      </c>
      <c r="D13" s="25" t="n">
        <f aca="false">B13*C13</f>
        <v>1500</v>
      </c>
      <c r="E13" s="13" t="s">
        <v>381</v>
      </c>
      <c r="F13" s="3"/>
      <c r="G13" s="26" t="s">
        <v>151</v>
      </c>
      <c r="H13" s="3"/>
    </row>
    <row r="14" customFormat="false" ht="15" hidden="false" customHeight="true" outlineLevel="0" collapsed="false">
      <c r="A14" s="22" t="s">
        <v>382</v>
      </c>
      <c r="B14" s="28" t="n">
        <v>4000</v>
      </c>
      <c r="C14" s="23" t="n">
        <v>1</v>
      </c>
      <c r="D14" s="25" t="n">
        <f aca="false">B14*C14</f>
        <v>4000</v>
      </c>
      <c r="E14" s="13" t="s">
        <v>383</v>
      </c>
      <c r="F14" s="3"/>
      <c r="G14" s="26" t="s">
        <v>151</v>
      </c>
      <c r="H14" s="3"/>
    </row>
    <row r="15" customFormat="false" ht="15" hidden="false" customHeight="true" outlineLevel="0" collapsed="false">
      <c r="A15" s="22" t="s">
        <v>384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385</v>
      </c>
      <c r="F15" s="3"/>
      <c r="G15" s="26" t="s">
        <v>151</v>
      </c>
      <c r="H15" s="3"/>
    </row>
    <row r="16" customFormat="false" ht="15" hidden="false" customHeight="true" outlineLevel="0" collapsed="false">
      <c r="A16" s="22" t="s">
        <v>386</v>
      </c>
      <c r="B16" s="28" t="n">
        <v>0</v>
      </c>
      <c r="C16" s="23" t="n">
        <v>1</v>
      </c>
      <c r="D16" s="25" t="n">
        <f aca="false">B16*C16</f>
        <v>0</v>
      </c>
      <c r="E16" s="13" t="s">
        <v>387</v>
      </c>
      <c r="G16" s="26" t="s">
        <v>151</v>
      </c>
    </row>
    <row r="17" customFormat="false" ht="15" hidden="false" customHeight="true" outlineLevel="0" collapsed="false">
      <c r="A17" s="22" t="s">
        <v>388</v>
      </c>
      <c r="B17" s="28" t="n">
        <v>0</v>
      </c>
      <c r="C17" s="23" t="n">
        <v>1</v>
      </c>
      <c r="D17" s="25" t="n">
        <f aca="false">B17*C17</f>
        <v>0</v>
      </c>
      <c r="E17" s="13" t="s">
        <v>389</v>
      </c>
      <c r="G17" s="26" t="s">
        <v>151</v>
      </c>
    </row>
    <row r="18" customFormat="false" ht="15" hidden="false" customHeight="true" outlineLevel="0" collapsed="false">
      <c r="A18" s="22" t="s">
        <v>390</v>
      </c>
      <c r="B18" s="28" t="n">
        <v>0</v>
      </c>
      <c r="C18" s="23" t="n">
        <v>1</v>
      </c>
      <c r="D18" s="25" t="n">
        <f aca="false">B18*C18</f>
        <v>0</v>
      </c>
      <c r="E18" s="13" t="s">
        <v>391</v>
      </c>
      <c r="G18" s="26" t="s">
        <v>151</v>
      </c>
    </row>
    <row r="19" customFormat="false" ht="15" hidden="false" customHeight="true" outlineLevel="0" collapsed="false">
      <c r="A19" s="22" t="s">
        <v>392</v>
      </c>
      <c r="B19" s="28" t="n">
        <v>0</v>
      </c>
      <c r="C19" s="23" t="n">
        <v>1</v>
      </c>
      <c r="D19" s="25" t="n">
        <f aca="false">B19*C19</f>
        <v>0</v>
      </c>
      <c r="E19" s="13" t="s">
        <v>393</v>
      </c>
      <c r="G19" s="26" t="s">
        <v>151</v>
      </c>
    </row>
    <row r="20" customFormat="false" ht="15" hidden="false" customHeight="true" outlineLevel="0" collapsed="false">
      <c r="A20" s="6" t="s">
        <v>185</v>
      </c>
      <c r="B20" s="3"/>
      <c r="C20" s="3"/>
      <c r="D20" s="9" t="n">
        <f aca="false">SUM(D12:D19)</f>
        <v>45500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186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188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189</v>
      </c>
      <c r="B24" s="3"/>
      <c r="C24" s="3"/>
      <c r="D24" s="8" t="n">
        <f aca="false">D20</f>
        <v>45500</v>
      </c>
      <c r="E24" s="3"/>
      <c r="F24" s="3"/>
      <c r="H24" s="3"/>
    </row>
    <row r="25" customFormat="false" ht="15" hidden="false" customHeight="true" outlineLevel="0" collapsed="false">
      <c r="A25" s="22" t="s">
        <v>394</v>
      </c>
      <c r="B25" s="3"/>
      <c r="C25" s="3"/>
      <c r="D25" s="8" t="n">
        <f aca="false">(D23+D24)*Wyjaśnienia!$B$32</f>
        <v>6648</v>
      </c>
      <c r="E25" s="3"/>
      <c r="F25" s="3"/>
      <c r="H25" s="3"/>
    </row>
    <row r="26" customFormat="false" ht="15" hidden="false" customHeight="true" outlineLevel="0" collapsed="false">
      <c r="A26" s="6" t="s">
        <v>192</v>
      </c>
      <c r="B26" s="3"/>
      <c r="C26" s="3"/>
      <c r="D26" s="9" t="n">
        <f aca="false">SUM(D23:D25)</f>
        <v>62048</v>
      </c>
      <c r="E26" s="3"/>
      <c r="F26" s="3"/>
      <c r="H26" s="3"/>
    </row>
    <row r="27" customFormat="false" ht="15" hidden="false" customHeight="true" outlineLevel="0" collapsed="false">
      <c r="A27" s="22" t="s">
        <v>193</v>
      </c>
      <c r="B27" s="3"/>
      <c r="C27" s="3"/>
      <c r="D27" s="8" t="n">
        <f aca="false">D26*Wyjaśnienia!$B$35</f>
        <v>14271.04</v>
      </c>
      <c r="E27" s="3"/>
      <c r="F27" s="3"/>
      <c r="H27" s="3"/>
    </row>
    <row r="28" customFormat="false" ht="15" hidden="false" customHeight="true" outlineLevel="0" collapsed="false">
      <c r="A28" s="6" t="s">
        <v>194</v>
      </c>
      <c r="B28" s="3"/>
      <c r="C28" s="3"/>
      <c r="D28" s="30" t="n">
        <f aca="false">D26+D27</f>
        <v>76319.04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395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396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397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128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129</v>
      </c>
      <c r="B6" s="3" t="s">
        <v>130</v>
      </c>
      <c r="D6" s="3" t="s">
        <v>132</v>
      </c>
      <c r="E6" s="3" t="s">
        <v>133</v>
      </c>
      <c r="F6" s="3" t="s">
        <v>134</v>
      </c>
      <c r="G6" s="3" t="s">
        <v>135</v>
      </c>
    </row>
    <row r="7" customFormat="false" ht="15" hidden="false" customHeight="true" outlineLevel="0" collapsed="false">
      <c r="A7" s="3" t="s">
        <v>398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44" t="s">
        <v>138</v>
      </c>
    </row>
    <row r="8" customFormat="false" ht="15" hidden="false" customHeight="true" outlineLevel="0" collapsed="false">
      <c r="A8" s="3" t="s">
        <v>399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44" t="s">
        <v>138</v>
      </c>
    </row>
    <row r="9" customFormat="false" ht="15" hidden="false" customHeight="true" outlineLevel="0" collapsed="false">
      <c r="A9" s="3" t="s">
        <v>400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44" t="s">
        <v>138</v>
      </c>
    </row>
    <row r="10" customFormat="false" ht="15" hidden="false" customHeight="true" outlineLevel="0" collapsed="false">
      <c r="A10" s="3" t="s">
        <v>401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402</v>
      </c>
      <c r="G10" s="44" t="s">
        <v>138</v>
      </c>
    </row>
    <row r="11" customFormat="false" ht="15" hidden="false" customHeight="true" outlineLevel="0" collapsed="false">
      <c r="A11" s="3" t="s">
        <v>158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159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129</v>
      </c>
      <c r="B14" s="3" t="s">
        <v>160</v>
      </c>
      <c r="C14" s="3" t="s">
        <v>161</v>
      </c>
      <c r="D14" s="3" t="s">
        <v>133</v>
      </c>
      <c r="E14" s="3" t="s">
        <v>134</v>
      </c>
      <c r="G14" s="3" t="s">
        <v>135</v>
      </c>
    </row>
    <row r="15" customFormat="false" ht="15" hidden="false" customHeight="true" outlineLevel="0" collapsed="false">
      <c r="A15" s="3" t="s">
        <v>403</v>
      </c>
      <c r="B15" s="3" t="n">
        <v>3000</v>
      </c>
      <c r="C15" s="3" t="n">
        <v>1</v>
      </c>
      <c r="D15" s="3" t="n">
        <f aca="false">B15*C15</f>
        <v>3000</v>
      </c>
      <c r="E15" s="3" t="s">
        <v>404</v>
      </c>
      <c r="G15" s="44" t="s">
        <v>138</v>
      </c>
    </row>
    <row r="16" customFormat="false" ht="15" hidden="false" customHeight="true" outlineLevel="0" collapsed="false">
      <c r="A16" s="3" t="s">
        <v>405</v>
      </c>
      <c r="B16" s="3" t="n">
        <v>6000</v>
      </c>
      <c r="C16" s="3" t="n">
        <v>1</v>
      </c>
      <c r="D16" s="3" t="n">
        <f aca="false">B16*C16</f>
        <v>6000</v>
      </c>
      <c r="E16" s="3" t="s">
        <v>406</v>
      </c>
      <c r="G16" s="44" t="s">
        <v>138</v>
      </c>
    </row>
    <row r="17" customFormat="false" ht="15" hidden="false" customHeight="true" outlineLevel="0" collapsed="false">
      <c r="A17" s="3" t="s">
        <v>407</v>
      </c>
      <c r="B17" s="3" t="n">
        <v>10000</v>
      </c>
      <c r="C17" s="3" t="n">
        <v>1</v>
      </c>
      <c r="D17" s="3" t="n">
        <f aca="false">B17*C17</f>
        <v>10000</v>
      </c>
      <c r="E17" s="3" t="s">
        <v>408</v>
      </c>
      <c r="G17" s="44" t="s">
        <v>138</v>
      </c>
    </row>
    <row r="18" customFormat="false" ht="15" hidden="false" customHeight="true" outlineLevel="0" collapsed="false">
      <c r="A18" s="3" t="s">
        <v>409</v>
      </c>
      <c r="B18" s="3" t="n">
        <v>15000</v>
      </c>
      <c r="C18" s="3" t="n">
        <v>1</v>
      </c>
      <c r="D18" s="3" t="n">
        <f aca="false">B18*C18</f>
        <v>15000</v>
      </c>
      <c r="E18" s="3" t="s">
        <v>410</v>
      </c>
      <c r="G18" s="44" t="s">
        <v>138</v>
      </c>
    </row>
    <row r="19" customFormat="false" ht="15" hidden="false" customHeight="true" outlineLevel="0" collapsed="false">
      <c r="A19" s="3" t="s">
        <v>411</v>
      </c>
      <c r="B19" s="3" t="n">
        <v>6000</v>
      </c>
      <c r="C19" s="3" t="n">
        <v>1</v>
      </c>
      <c r="D19" s="3" t="n">
        <f aca="false">B19*C19</f>
        <v>6000</v>
      </c>
      <c r="E19" s="3" t="s">
        <v>412</v>
      </c>
      <c r="G19" s="44" t="s">
        <v>138</v>
      </c>
    </row>
    <row r="20" customFormat="false" ht="15" hidden="false" customHeight="true" outlineLevel="0" collapsed="false">
      <c r="A20" s="3" t="s">
        <v>413</v>
      </c>
      <c r="B20" s="3" t="n">
        <v>30000</v>
      </c>
      <c r="C20" s="3" t="n">
        <v>1</v>
      </c>
      <c r="D20" s="3" t="n">
        <f aca="false">B20*C20</f>
        <v>30000</v>
      </c>
      <c r="E20" s="3" t="s">
        <v>414</v>
      </c>
      <c r="G20" s="44" t="s">
        <v>138</v>
      </c>
    </row>
    <row r="21" customFormat="false" ht="15" hidden="false" customHeight="true" outlineLevel="0" collapsed="false">
      <c r="A21" s="3" t="s">
        <v>415</v>
      </c>
      <c r="B21" s="3" t="n">
        <v>4500</v>
      </c>
      <c r="C21" s="3" t="n">
        <v>1</v>
      </c>
      <c r="D21" s="3" t="n">
        <f aca="false">B21*C21</f>
        <v>4500</v>
      </c>
      <c r="G21" s="44" t="s">
        <v>138</v>
      </c>
    </row>
    <row r="22" customFormat="false" ht="15" hidden="false" customHeight="true" outlineLevel="0" collapsed="false">
      <c r="A22" s="3" t="s">
        <v>185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186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188</v>
      </c>
      <c r="D25" s="3" t="n">
        <f aca="false">E11</f>
        <v>78100</v>
      </c>
    </row>
    <row r="26" customFormat="false" ht="15" hidden="false" customHeight="true" outlineLevel="0" collapsed="false">
      <c r="A26" s="3" t="s">
        <v>189</v>
      </c>
      <c r="D26" s="3" t="n">
        <f aca="false">D22</f>
        <v>74500</v>
      </c>
    </row>
    <row r="27" customFormat="false" ht="15" hidden="false" customHeight="true" outlineLevel="0" collapsed="false">
      <c r="A27" s="3" t="s">
        <v>372</v>
      </c>
      <c r="D27" s="3" t="n">
        <f aca="false">D25*Wyjaśnienia!$B$33+(D25+D26)*0.1</f>
        <v>30880</v>
      </c>
      <c r="E27" s="3" t="s">
        <v>373</v>
      </c>
    </row>
    <row r="28" customFormat="false" ht="15" hidden="false" customHeight="true" outlineLevel="0" collapsed="false">
      <c r="A28" s="3" t="s">
        <v>192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193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194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2026-10-31T10:17:32Z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