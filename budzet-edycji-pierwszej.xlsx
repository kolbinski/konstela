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<sst xmlns="http://schemas.openxmlformats.org/spreadsheetml/2006/main" count="595" uniqueCount="405">
  <si>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</si>
  <si>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</si>
  <si>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</si>
  <si>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</si>
  <si>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</si>
  <si>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</si>
  <si>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</si>
  <si>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</si>
  <si>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</si>
  <si>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</si>
  <si>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</si>
  <si>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</si>
  <si>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</si>
  <si>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</si>
  <si>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</si>
  <si>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</si>
  <si>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</si>
  <si>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</si>
  <si>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</si>
  <si>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</si>
  <si>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</si>
  <si>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</si>
  <si>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</si>
  <si>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</si>
  <si>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</si>
  <si>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</si>
  <si>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</si>
  <si>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</si>
  <si>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</si>
  <si>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</si>
  <si>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</si>
  <si>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</si>
  <si>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</si>
  <si>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</si>
  <si>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</si>
  <si>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</si>
  <si>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</si>
  <si>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</si>
  <si>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</si>
  <si>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</si>
  <si>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</si>
  <si>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</si>
  <si>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</si>
  <si>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</si>
  <si>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</si>
  <si>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</si>
  <si>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</si>
  <si>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</si>
  <si>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</si>
  <si>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</si>
  <si>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</si>
  <si>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</si>
  <si>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</si>
  <si>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</si>
  <si>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</si>
  <si>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</si>
  <si>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</si>
  <si>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</si>
  <si>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</si>
  <si>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</si>
  <si>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</si>
  <si>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</si>
  <si>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</si>
  <si>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</si>
  <si>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</si>
  <si>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</si>
  <si>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</si>
  <si>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</si>
  <si>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</si>
  <si>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</si>
  <si>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</si>
  <si>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</si>
  <si>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</si>
  <si>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</si>
  <si>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</si>
  <si>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</si>
  <si>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</si>
  <si>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</si>
  <si>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</si>
  <si>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</si>
  <si>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</si>
  <si>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</si>
  <si>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</si>
  <si>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</si>
  <si>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</si>
  <si>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</si>
  <si>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</si>
  <si>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</si>
  <si>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</si>
  <si>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</si>
  <si>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</si>
  <si>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</si>
  <si>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</si>
  <si>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</si>
  <si>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</si>
  <si>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</si>
  <si>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</si>
  <si>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</si>
  <si>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</si>
  <si>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</si>
  <si>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</si>
  <si>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</si>
  <si>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</si>
  <si>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</si>
  <si>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</si>
  <si>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</si>
  <si>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</si>
  <si>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</si>
  <si>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</si>
  <si>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</si>
  <si>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</si>
  <si>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</si>
  <si>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</si>
  <si>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</si>
  <si>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</si>
  <si>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</si>
  <si>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</si>
  <si>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</si>
  <si>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</si>
  <si>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</si>
  <si>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</si>
  <si>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</si>
  <si>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</si>
  <si>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</si>
  <si>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</si>
  <si>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</si>
  <si>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</si>
  <si>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</si>
  <si>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</si>
  <si>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</si>
  <si>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</si>
  <si>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</si>
  <si>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</si>
  <si>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</si>
  <si>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</si>
  <si>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</si>
  <si>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</si>
  <si>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</si>
  <si>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</si>
  <si>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</si>
  <si>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</si>
  <si>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</si>
  <si>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</si>
  <si>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</si>
  <si>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</si>
  <si>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</si>
  <si>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</si>
  <si>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</si>
  <si>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</si>
  <si>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</si>
  <si>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</si>
  <si>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</si>
  <si>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</si>
  <si>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</si>
  <si>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</si>
  <si>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</si>
  <si>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</si>
  <si>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</si>
  <si>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</si>
  <si>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</si>
  <si>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</si>
  <si>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</si>
  <si>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</si>
  <si>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</si>
  <si>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</si>
  <si>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</si>
  <si>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</si>
  <si>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</si>
  <si>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</si>
  <si>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</si>
  <si>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</si>
  <si>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</si>
  <si>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</si>
  <si>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</si>
  <si>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</si>
  <si>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</si>
  <si>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</si>
  <si>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</si>
  <si>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</si>
  <si>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</si>
  <si>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</si>
  <si>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</si>
  <si>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</si>
  <si>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</si>
  <si>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</si>
  <si>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</si>
  <si>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</si>
  <si>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</si>
  <si>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</si>
  <si>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</si>
  <si>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</si>
  <si>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</si>
  <si>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</si>
  <si>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</si>
  <si>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</si>
  <si>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</si>
  <si>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</si>
  <si>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</si>
  <si>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</si>
  <si>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</si>
  <si>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</si>
  <si>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</si>
  <si>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</si>
  <si>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</si>
  <si>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</si>
  <si>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</si>
  <si>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</si>
  <si>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</si>
  <si>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</si>
  <si>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</si>
  <si>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</si>
  <si>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</si>
  <si>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</si>
  <si>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</si>
  <si>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</si>
  <si>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</si>
  <si>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</si>
  <si>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</si>
  <si>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</si>
  <si>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</si>
  <si>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</si>
  <si>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</si>
  <si>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</si>
  <si>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</si>
  <si>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</si>
  <si>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</si>
  <si>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</si>
  <si>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</si>
  <si>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</si>
  <si>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</si>
  <si>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</si>
  <si>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</si>
  <si>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</si>
  <si>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</si>
  <si>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</si>
  <si>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</si>
  <si>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</si>
  <si>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</si>
  <si>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</si>
  <si>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</si>
  <si>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</si>
  <si>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</si>
  <si>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</si>
  <si>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</si>
  <si>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</si>
  <si>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</si>
  <si>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</si>
  <si>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</si>
  <si>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</si>
  <si>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</si>
  <si>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</si>
  <si>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</si>
  <si>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</si>
  <si>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</si>
  <si>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</si>
  <si>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</si>
  <si>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</si>
  <si>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</si>
  <si>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</si>
  <si>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</si>
  <si>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</si>
  <si>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</si>
  <si>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</si>
  <si>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</si>
  <si>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</si>
  <si>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</si>
  <si>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</si>
  <si>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</si>
  <si>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</si>
  <si>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</si>
  <si>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</si>
  <si>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</si>
  <si>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</si>
  <si>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</si>
  <si>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</si>
  <si>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</si>
  <si>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</si>
  <si>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</si>
  <si>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</si>
  <si>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</si>
  <si>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</si>
  <si>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</si>
  <si>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 i opisy prac w miejscu gali. Wernisaż i wystawa w galerii sztuki są osobną pozycją na końcu tej zakładki, poza zakresem pytania do MKiDN.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</si>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</sst>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Nagrody'!$D$37</f>
        <v>532156.8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Plebiscytu'!$D$33</f>
        <v>262600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Plakatu'!$D$36</f>
        <v>162480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Filmu'!$D$35</f>
        <v>264800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Nagrody'!$D$37+'Budżet Gali'!$D$26+'Budżet Antologii'!$D$38+'Budżet Plebiscytu'!$D$33+'Budżet Plakatu'!$D$36+'Budżet Akademii'!$D$33+'Budżet Filmu'!$D$35</f>
        <v>1709786.8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40000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10000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12000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>
      <c r="A44" s="3" t="s">
        <v>66</v>
      </c>
    </row>
    <row r="45" customFormat="false" ht="15" hidden="false" customHeight="true" outlineLevel="0" collapsed="false">
      <c r="A45" s="17" t="s">
        <v>67</v>
      </c>
    </row>
    <row r="46" customFormat="false" ht="15" hidden="false" customHeight="true" outlineLevel="0" collapsed="false">
      <c r="A46" s="3" t="s">
        <v>68</v>
      </c>
      <c r="B46" s="14" t="n">
        <v>2</v>
      </c>
      <c r="C46" s="3" t="s">
        <v>69</v>
      </c>
    </row>
    <row r="47" customFormat="false" ht="15" hidden="false" customHeight="true" outlineLevel="0" collapsed="false">
      <c r="A47" s="3" t="s">
        <v>70</v>
      </c>
      <c r="B47" s="18" t="n">
        <v>500</v>
      </c>
      <c r="C47" s="3" t="s">
        <v>71</v>
      </c>
    </row>
    <row r="48" customFormat="false" ht="15" hidden="false" customHeight="true" outlineLevel="0" collapsed="false">
      <c r="A48" s="3" t="s">
        <v>72</v>
      </c>
      <c r="B48" s="18" t="n">
        <v>2500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4" t="n">
        <v>15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9" t="n">
        <v>30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20" t="s">
        <v>77</v>
      </c>
    </row>
    <row r="53" customFormat="false" ht="15" hidden="false" customHeight="true" outlineLevel="0" collapsed="false">
      <c r="A53" s="1" t="s">
        <v>78</v>
      </c>
      <c r="B53" s="21" t="n">
        <v>150</v>
      </c>
      <c r="C53" s="1" t="s">
        <v>79</v>
      </c>
    </row>
    <row r="54" customFormat="false" ht="15" hidden="false" customHeight="true" outlineLevel="0" collapsed="false">
      <c r="A54" s="1" t="s">
        <v>80</v>
      </c>
      <c r="B54" s="18" t="n">
        <v>90000</v>
      </c>
      <c r="C54" s="1" t="s">
        <v>81</v>
      </c>
    </row>
    <row r="55" customFormat="false" ht="15" hidden="false" customHeight="true" outlineLevel="0" collapsed="false">
      <c r="A55" s="1" t="s">
        <v>82</v>
      </c>
      <c r="B55" s="18" t="n">
        <v>12000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85</v>
      </c>
      <c r="B57" s="21" t="n">
        <v>5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21" t="n">
        <v>10</v>
      </c>
      <c r="C58" s="1" t="s">
        <v>88</v>
      </c>
    </row>
    <row r="59" customFormat="false" ht="15" hidden="false" customHeight="true" outlineLevel="0" collapsed="false">
      <c r="A59" s="1" t="s">
        <v>89</v>
      </c>
      <c r="B59" s="18" t="n">
        <v>290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400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18" t="n">
        <v>3000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20" t="s">
        <v>98</v>
      </c>
    </row>
    <row r="66" customFormat="false" ht="15" hidden="false" customHeight="true" outlineLevel="0" collapsed="false">
      <c r="A66" s="1" t="s">
        <v>99</v>
      </c>
      <c r="B66" s="14" t="n">
        <v>150</v>
      </c>
      <c r="C66" s="1" t="s">
        <v>100</v>
      </c>
    </row>
    <row r="67" customFormat="false" ht="15" hidden="false" customHeight="true" outlineLevel="0" collapsed="false">
      <c r="A67" s="1" t="s">
        <v>101</v>
      </c>
      <c r="B67" s="14" t="n">
        <v>180000</v>
      </c>
      <c r="C67" s="1" t="s">
        <v>102</v>
      </c>
    </row>
    <row r="68" customFormat="false" ht="15" hidden="false" customHeight="true" outlineLevel="0" collapsed="false">
      <c r="A68" s="1" t="s">
        <v>103</v>
      </c>
      <c r="B68" s="14" t="n">
        <v>12000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4" t="n">
        <v>1200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4" t="n">
        <v>10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4" t="n">
        <v>5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4" t="n">
        <v>40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4" t="n">
        <v>290</v>
      </c>
      <c r="C73" s="1" t="s">
        <v>90</v>
      </c>
    </row>
    <row r="74" customFormat="false" ht="15" hidden="false" customHeight="true" outlineLevel="0" collapsed="false">
      <c r="A74" s="1" t="s">
        <v>114</v>
      </c>
      <c r="B74" s="14" t="n">
        <v>0.12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4" t="n">
        <v>2</v>
      </c>
      <c r="C75" s="1" t="s">
        <v>117</v>
      </c>
    </row>
    <row r="76" customFormat="false" ht="15" hidden="false" customHeight="true" outlineLevel="0" collapsed="false">
      <c r="A76" s="1" t="s">
        <v>118</v>
      </c>
      <c r="B76" s="14" t="n">
        <v>300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4" t="n">
        <v>10</v>
      </c>
      <c r="C77" s="1" t="s">
        <v>121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122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132</v>
      </c>
      <c r="B7" s="23" t="n">
        <v>60</v>
      </c>
      <c r="C7" s="23" t="n">
        <v>0</v>
      </c>
      <c r="D7" s="24" t="n">
        <f aca="false">B7+C7*Wyjaśnienia!$B$17/60</f>
        <v>60</v>
      </c>
      <c r="E7" s="25" t="n">
        <f aca="false">D7*Wyjaśnienia!$B$16</f>
        <v>13200</v>
      </c>
      <c r="F7" s="15" t="s">
        <v>133</v>
      </c>
      <c r="G7" s="26" t="n">
        <v>2027</v>
      </c>
      <c r="H7" s="3"/>
    </row>
    <row r="8" customFormat="false" ht="15" hidden="false" customHeight="true" outlineLevel="0" collapsed="false">
      <c r="A8" s="22" t="s">
        <v>134</v>
      </c>
      <c r="B8" s="23" t="n">
        <v>24</v>
      </c>
      <c r="C8" s="23" t="n">
        <v>0</v>
      </c>
      <c r="D8" s="24" t="n">
        <f aca="false">B8+C8*Wyjaśnienia!$B$17/60</f>
        <v>24</v>
      </c>
      <c r="E8" s="25" t="n">
        <f aca="false">D8*Wyjaśnienia!$B$16</f>
        <v>5280</v>
      </c>
      <c r="F8" s="15" t="s">
        <v>135</v>
      </c>
      <c r="G8" s="26" t="n">
        <v>2027</v>
      </c>
      <c r="H8" s="3"/>
    </row>
    <row r="9" customFormat="false" ht="15" hidden="false" customHeight="true" outlineLevel="0" collapsed="false">
      <c r="A9" s="22" t="s">
        <v>136</v>
      </c>
      <c r="B9" s="23" t="n">
        <v>50</v>
      </c>
      <c r="C9" s="23" t="n">
        <v>0</v>
      </c>
      <c r="D9" s="24" t="n">
        <f aca="false">B9+C9*Wyjaśnienia!$B$17/60</f>
        <v>50</v>
      </c>
      <c r="E9" s="25" t="n">
        <f aca="false">D9*Wyjaśnienia!$B$16</f>
        <v>11000</v>
      </c>
      <c r="F9" s="15" t="s">
        <v>137</v>
      </c>
      <c r="G9" s="26" t="n">
        <v>2027</v>
      </c>
      <c r="H9" s="3"/>
    </row>
    <row r="10" customFormat="false" ht="15" hidden="false" customHeight="true" outlineLevel="0" collapsed="false">
      <c r="A10" s="22" t="s">
        <v>138</v>
      </c>
      <c r="B10" s="23" t="n">
        <v>8</v>
      </c>
      <c r="C10" s="23" t="n">
        <v>6</v>
      </c>
      <c r="D10" s="24" t="n">
        <f aca="false">B10+C10*Wyjaśnienia!$B$17/60</f>
        <v>23</v>
      </c>
      <c r="E10" s="25" t="n">
        <f aca="false">D10*Wyjaśnienia!$B$16</f>
        <v>5060</v>
      </c>
      <c r="F10" s="15" t="s">
        <v>139</v>
      </c>
      <c r="G10" s="26" t="n">
        <v>2027</v>
      </c>
      <c r="H10" s="3"/>
    </row>
    <row r="11" customFormat="false" ht="15" hidden="false" customHeight="true" outlineLevel="0" collapsed="false">
      <c r="A11" s="22" t="s">
        <v>140</v>
      </c>
      <c r="B11" s="23" t="n">
        <v>10</v>
      </c>
      <c r="C11" s="23" t="n">
        <v>4</v>
      </c>
      <c r="D11" s="24" t="n">
        <f aca="false">B11+C11*Wyjaśnienia!$B$17/60</f>
        <v>20</v>
      </c>
      <c r="E11" s="25" t="n">
        <f aca="false">D11*Wyjaśnienia!$B$16</f>
        <v>4400</v>
      </c>
      <c r="F11" s="15" t="s">
        <v>141</v>
      </c>
      <c r="G11" s="26" t="n">
        <v>2027</v>
      </c>
      <c r="H11" s="3"/>
    </row>
    <row r="12" customFormat="false" ht="15" hidden="false" customHeight="true" outlineLevel="0" collapsed="false">
      <c r="A12" s="22" t="s">
        <v>142</v>
      </c>
      <c r="B12" s="23" t="n">
        <v>20</v>
      </c>
      <c r="C12" s="23" t="n">
        <v>0</v>
      </c>
      <c r="D12" s="24" t="n">
        <f aca="false">B12+C12*Wyjaśnienia!$B$17/60</f>
        <v>20</v>
      </c>
      <c r="E12" s="25" t="n">
        <f aca="false">D12*Wyjaśnienia!$B$16</f>
        <v>4400</v>
      </c>
      <c r="F12" s="15" t="s">
        <v>143</v>
      </c>
      <c r="G12" s="26" t="n">
        <v>2027</v>
      </c>
      <c r="H12" s="3"/>
    </row>
    <row r="13" customFormat="false" ht="15" hidden="false" customHeight="true" outlineLevel="0" collapsed="false">
      <c r="A13" s="22" t="s">
        <v>144</v>
      </c>
      <c r="B13" s="23" t="n">
        <v>40</v>
      </c>
      <c r="C13" s="23" t="n">
        <v>0</v>
      </c>
      <c r="D13" s="24" t="n">
        <f aca="false">B13+C13*Wyjaśnienia!$B$17/60</f>
        <v>40</v>
      </c>
      <c r="E13" s="25" t="n">
        <f aca="false">D13*Wyjaśnienia!$B$16</f>
        <v>8800</v>
      </c>
      <c r="F13" s="15" t="s">
        <v>145</v>
      </c>
      <c r="G13" s="26" t="n">
        <v>2028</v>
      </c>
      <c r="H13" s="3"/>
    </row>
    <row r="14" customFormat="false" ht="15" hidden="false" customHeight="true" outlineLevel="0" collapsed="false">
      <c r="A14" s="22" t="s">
        <v>146</v>
      </c>
      <c r="B14" s="23" t="n">
        <v>25</v>
      </c>
      <c r="C14" s="23" t="n">
        <v>0</v>
      </c>
      <c r="D14" s="24" t="n">
        <f aca="false">B14+C14*Wyjaśnienia!$B$17/60</f>
        <v>25</v>
      </c>
      <c r="E14" s="25" t="n">
        <f aca="false">D14*Wyjaśnienia!$B$16</f>
        <v>5500</v>
      </c>
      <c r="F14" s="15" t="s">
        <v>147</v>
      </c>
      <c r="G14" s="26" t="n">
        <v>2028</v>
      </c>
      <c r="H14" s="3"/>
    </row>
    <row r="15" customFormat="false" ht="15" hidden="false" customHeight="true" outlineLevel="0" collapsed="false">
      <c r="A15" s="22" t="s">
        <v>148</v>
      </c>
      <c r="B15" s="23" t="n">
        <v>25</v>
      </c>
      <c r="C15" s="23" t="n">
        <v>0</v>
      </c>
      <c r="D15" s="24" t="n">
        <f aca="false">B15+C15*Wyjaśnienia!$B$17/60</f>
        <v>25</v>
      </c>
      <c r="E15" s="25" t="n">
        <f aca="false">D15*Wyjaśnienia!$B$16</f>
        <v>5500</v>
      </c>
      <c r="F15" s="15" t="s">
        <v>149</v>
      </c>
      <c r="G15" s="26" t="n">
        <v>2028</v>
      </c>
      <c r="H15" s="3"/>
    </row>
    <row r="16" customFormat="false" ht="15" hidden="false" customHeight="true" outlineLevel="0" collapsed="false">
      <c r="A16" s="22" t="s">
        <v>150</v>
      </c>
      <c r="B16" s="23" t="n">
        <v>40</v>
      </c>
      <c r="C16" s="23" t="n">
        <v>0</v>
      </c>
      <c r="D16" s="24" t="n">
        <f aca="false">B16+C16*Wyjaśnienia!$B$17/60</f>
        <v>40</v>
      </c>
      <c r="E16" s="25" t="n">
        <f aca="false">D16*Wyjaśnienia!$B$16</f>
        <v>8800</v>
      </c>
      <c r="F16" s="15" t="s">
        <v>151</v>
      </c>
      <c r="G16" s="26" t="n">
        <v>2027</v>
      </c>
      <c r="H16" s="3"/>
    </row>
    <row r="17" customFormat="false" ht="15" hidden="false" customHeight="true" outlineLevel="0" collapsed="false">
      <c r="A17" s="6" t="s">
        <v>152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153</v>
      </c>
      <c r="B19" s="5"/>
      <c r="C19" s="5"/>
      <c r="D19" s="5"/>
      <c r="E19" s="5"/>
      <c r="F19" s="5"/>
      <c r="H19" s="3"/>
    </row>
    <row r="20" customFormat="false" ht="15" hidden="false" customHeight="true" outlineLevel="0" collapsed="false">
      <c r="A20" s="6" t="s">
        <v>125</v>
      </c>
      <c r="B20" s="3" t="s">
        <v>154</v>
      </c>
      <c r="C20" s="3" t="s">
        <v>155</v>
      </c>
      <c r="D20" s="3" t="s">
        <v>129</v>
      </c>
      <c r="E20" s="3" t="s">
        <v>130</v>
      </c>
      <c r="G20" s="6" t="s">
        <v>131</v>
      </c>
      <c r="H20" s="3"/>
    </row>
    <row r="21" customFormat="false" ht="15" hidden="false" customHeight="true" outlineLevel="0" collapsed="false">
      <c r="A21" s="22" t="s">
        <v>156</v>
      </c>
      <c r="B21" s="28" t="n">
        <v>1200</v>
      </c>
      <c r="C21" s="23" t="n">
        <v>1</v>
      </c>
      <c r="D21" s="25" t="n">
        <f aca="false">B21*C21</f>
        <v>1200</v>
      </c>
      <c r="E21" s="15" t="s">
        <v>157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158</v>
      </c>
      <c r="B22" s="28" t="n">
        <v>1500</v>
      </c>
      <c r="C22" s="23" t="n">
        <v>1</v>
      </c>
      <c r="D22" s="25" t="n">
        <f aca="false">B22*C22</f>
        <v>1500</v>
      </c>
      <c r="E22" s="15" t="s">
        <v>159</v>
      </c>
      <c r="F22" s="3"/>
      <c r="G22" s="26" t="n">
        <v>2027</v>
      </c>
      <c r="H22" s="3"/>
    </row>
    <row r="23" customFormat="false" ht="15" hidden="false" customHeight="true" outlineLevel="0" collapsed="false">
      <c r="A23" s="22" t="s">
        <v>160</v>
      </c>
      <c r="B23" s="28" t="n">
        <v>250</v>
      </c>
      <c r="C23" s="23" t="n">
        <v>1</v>
      </c>
      <c r="D23" s="25" t="n">
        <f aca="false">B23*C23</f>
        <v>250</v>
      </c>
      <c r="E23" s="15" t="s">
        <v>161</v>
      </c>
      <c r="F23" s="3"/>
      <c r="G23" s="26" t="n">
        <v>2027</v>
      </c>
      <c r="H23" s="3"/>
    </row>
    <row r="24" customFormat="false" ht="15" hidden="false" customHeight="true" outlineLevel="0" collapsed="false">
      <c r="A24" s="22" t="s">
        <v>162</v>
      </c>
      <c r="B24" s="28" t="n">
        <v>32000</v>
      </c>
      <c r="C24" s="23" t="n">
        <v>1</v>
      </c>
      <c r="D24" s="25" t="n">
        <f aca="false">B24*C24</f>
        <v>32000</v>
      </c>
      <c r="E24" s="15" t="s">
        <v>163</v>
      </c>
      <c r="F24" s="3" t="s">
        <v>164</v>
      </c>
      <c r="G24" s="26" t="n">
        <v>2028</v>
      </c>
      <c r="H24" s="3"/>
    </row>
    <row r="25" customFormat="false" ht="15" hidden="false" customHeight="true" outlineLevel="0" collapsed="false">
      <c r="A25" s="22" t="s">
        <v>165</v>
      </c>
      <c r="B25" s="28" t="n">
        <v>0</v>
      </c>
      <c r="C25" s="23" t="n">
        <v>1</v>
      </c>
      <c r="D25" s="25" t="n">
        <f aca="false">B25*C25</f>
        <v>0</v>
      </c>
      <c r="E25" s="15" t="s">
        <v>166</v>
      </c>
      <c r="F25" s="3"/>
      <c r="G25" s="26" t="n">
        <v>2027</v>
      </c>
    </row>
    <row r="26" customFormat="false" ht="15" hidden="false" customHeight="true" outlineLevel="0" collapsed="false">
      <c r="A26" s="22" t="s">
        <v>167</v>
      </c>
      <c r="B26" s="28" t="n">
        <v>15000</v>
      </c>
      <c r="C26" s="23" t="n">
        <v>1</v>
      </c>
      <c r="D26" s="25" t="n">
        <f aca="false">B26*C26</f>
        <v>15000</v>
      </c>
      <c r="E26" s="15" t="s">
        <v>168</v>
      </c>
      <c r="F26" s="3"/>
      <c r="G26" s="26" t="n">
        <v>2027</v>
      </c>
      <c r="H26" s="3"/>
    </row>
    <row r="27" customFormat="false" ht="15" hidden="false" customHeight="true" outlineLevel="0" collapsed="false">
      <c r="A27" s="22" t="s">
        <v>169</v>
      </c>
      <c r="B27" s="28" t="n">
        <v>12000</v>
      </c>
      <c r="C27" s="23" t="n">
        <v>1</v>
      </c>
      <c r="D27" s="25" t="n">
        <f aca="false">B27*C27</f>
        <v>12000</v>
      </c>
      <c r="E27" s="15" t="s">
        <v>170</v>
      </c>
      <c r="F27" s="3"/>
      <c r="G27" s="26" t="n">
        <v>2028</v>
      </c>
    </row>
    <row r="28" customFormat="false" ht="15" hidden="false" customHeight="true" outlineLevel="0" collapsed="false">
      <c r="A28" s="22" t="s">
        <v>171</v>
      </c>
      <c r="B28" s="28" t="n">
        <v>0</v>
      </c>
      <c r="C28" s="23" t="n">
        <v>1</v>
      </c>
      <c r="D28" s="25" t="n">
        <f aca="false">B28*C28</f>
        <v>0</v>
      </c>
      <c r="E28" s="15" t="s">
        <v>172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173</v>
      </c>
      <c r="B29" s="28" t="n">
        <v>10000</v>
      </c>
      <c r="C29" s="23" t="n">
        <v>1</v>
      </c>
      <c r="D29" s="25" t="n">
        <f aca="false">B29*C29</f>
        <v>10000</v>
      </c>
      <c r="E29" s="15" t="s">
        <v>174</v>
      </c>
      <c r="F29" s="3"/>
      <c r="G29" s="26" t="n">
        <v>2028</v>
      </c>
    </row>
    <row r="30" customFormat="false" ht="15" hidden="false" customHeight="true" outlineLevel="0" collapsed="false">
      <c r="A30" s="6" t="s">
        <v>175</v>
      </c>
      <c r="B30" s="3"/>
      <c r="C30" s="3"/>
      <c r="D30" s="9" t="n">
        <f aca="false">SUM(D21:D29)</f>
        <v>71950</v>
      </c>
      <c r="E30" s="3"/>
      <c r="F30" s="3"/>
      <c r="H30" s="3"/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H31" s="3"/>
    </row>
    <row r="32" customFormat="false" ht="15" hidden="false" customHeight="true" outlineLevel="0" collapsed="false">
      <c r="A32" s="12" t="s">
        <v>176</v>
      </c>
      <c r="H32" s="3"/>
    </row>
    <row r="33" customFormat="false" ht="15" hidden="false" customHeight="true" outlineLevel="0" collapsed="false">
      <c r="A33" s="22" t="s">
        <v>177</v>
      </c>
      <c r="B33" s="3"/>
      <c r="C33" s="3"/>
      <c r="D33" s="25" t="n">
        <f aca="false">Wyjaśnienia!$B$18+Wyjaśnienia!$B$21+Wyjaśnienia!$B$22+Wyjaśnienia!$B$19*Wyjaśnienia!$B$20</f>
        <v>371000</v>
      </c>
      <c r="E33" s="3"/>
      <c r="F33" s="3"/>
      <c r="H33" s="3"/>
    </row>
    <row r="34" customFormat="false" ht="15" hidden="false" customHeight="true" outlineLevel="0" collapsed="false">
      <c r="A34" s="22" t="s">
        <v>178</v>
      </c>
      <c r="B34" s="3"/>
      <c r="C34" s="3"/>
      <c r="D34" s="8" t="n">
        <f aca="false">E17</f>
        <v>71940</v>
      </c>
      <c r="E34" s="3"/>
      <c r="F34" s="3"/>
      <c r="H34" s="3"/>
    </row>
    <row r="35" customFormat="false" ht="15" hidden="false" customHeight="true" outlineLevel="0" collapsed="false">
      <c r="A35" s="22" t="s">
        <v>179</v>
      </c>
      <c r="B35" s="3"/>
      <c r="C35" s="3"/>
      <c r="D35" s="8" t="n">
        <f aca="false">D30</f>
        <v>71950</v>
      </c>
      <c r="E35" s="3"/>
      <c r="F35" s="3"/>
      <c r="H35" s="3"/>
    </row>
    <row r="36" customFormat="false" ht="15" hidden="false" customHeight="true" outlineLevel="0" collapsed="false">
      <c r="A36" s="22" t="s">
        <v>180</v>
      </c>
      <c r="D36" s="3" t="n">
        <f aca="false">(D34+D35)*Wyjaśnienia!$B$30</f>
        <v>17266.8</v>
      </c>
      <c r="H36" s="3"/>
    </row>
    <row r="37" customFormat="false" ht="15" hidden="false" customHeight="true" outlineLevel="0" collapsed="false">
      <c r="A37" s="6" t="s">
        <v>181</v>
      </c>
      <c r="B37" s="3"/>
      <c r="C37" s="3"/>
      <c r="D37" s="9" t="n">
        <f aca="false">SUM(D33:D36)</f>
        <v>532156.8</v>
      </c>
      <c r="E37" s="3"/>
      <c r="F37" s="3"/>
      <c r="H37" s="3"/>
    </row>
    <row r="38" customFormat="false" ht="15" hidden="false" customHeight="true" outlineLevel="0" collapsed="false">
      <c r="A38" s="22" t="s">
        <v>182</v>
      </c>
      <c r="B38" s="3"/>
      <c r="C38" s="3"/>
      <c r="D38" s="8" t="n">
        <f aca="false">D37*Wyjaśnienia!$B$33</f>
        <v>122396.064</v>
      </c>
      <c r="E38" s="3"/>
      <c r="F38" s="3"/>
      <c r="H38" s="3"/>
    </row>
    <row r="39" customFormat="false" ht="15" hidden="false" customHeight="true" outlineLevel="0" collapsed="false">
      <c r="A39" s="6" t="s">
        <v>183</v>
      </c>
      <c r="B39" s="3"/>
      <c r="C39" s="3"/>
      <c r="D39" s="30" t="n">
        <f aca="false">D37+D38</f>
        <v>654552.864</v>
      </c>
      <c r="E39" s="3"/>
      <c r="F39" s="3"/>
      <c r="H39" s="3"/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184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185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186</v>
      </c>
      <c r="G7" s="26" t="n">
        <v>2028</v>
      </c>
      <c r="H7" s="3"/>
    </row>
    <row r="8" customFormat="false" ht="15" hidden="false" customHeight="true" outlineLevel="0" collapsed="false">
      <c r="A8" s="22" t="s">
        <v>187</v>
      </c>
      <c r="B8" s="23" t="n">
        <v>40</v>
      </c>
      <c r="C8" s="23" t="n">
        <v>0</v>
      </c>
      <c r="D8" s="24" t="n">
        <f aca="false">B8+C8*Wyjaśnienia!$B$17/60</f>
        <v>40</v>
      </c>
      <c r="E8" s="25" t="n">
        <f aca="false">D8*Wyjaśnienia!$B$16</f>
        <v>8800</v>
      </c>
      <c r="F8" s="15" t="s">
        <v>188</v>
      </c>
      <c r="G8" s="26" t="n">
        <v>2028</v>
      </c>
      <c r="H8" s="3"/>
    </row>
    <row r="9" customFormat="false" ht="15" hidden="false" customHeight="true" outlineLevel="0" collapsed="false">
      <c r="A9" s="22" t="s">
        <v>189</v>
      </c>
      <c r="B9" s="23" t="n">
        <v>0</v>
      </c>
      <c r="C9" s="23" t="n">
        <v>4</v>
      </c>
      <c r="D9" s="24" t="n">
        <f aca="false">B9+C9*Wyjaśnienia!$B$17/60</f>
        <v>10</v>
      </c>
      <c r="E9" s="25" t="n">
        <f aca="false">D9*Wyjaśnienia!$B$16</f>
        <v>2200</v>
      </c>
      <c r="F9" s="15" t="s">
        <v>190</v>
      </c>
      <c r="G9" s="26" t="n">
        <v>2027</v>
      </c>
      <c r="H9" s="3"/>
    </row>
    <row r="10" customFormat="false" ht="15" hidden="false" customHeight="true" outlineLevel="0" collapsed="false">
      <c r="A10" s="22" t="s">
        <v>191</v>
      </c>
      <c r="B10" s="23" t="n">
        <v>50</v>
      </c>
      <c r="C10" s="23" t="n">
        <v>0</v>
      </c>
      <c r="D10" s="24" t="n">
        <f aca="false">B10+C10*Wyjaśnienia!$B$17/60</f>
        <v>50</v>
      </c>
      <c r="E10" s="25" t="n">
        <f aca="false">D10*Wyjaśnienia!$B$16</f>
        <v>11000</v>
      </c>
      <c r="F10" s="15" t="s">
        <v>192</v>
      </c>
      <c r="G10" s="26" t="n">
        <v>2027</v>
      </c>
      <c r="H10" s="3"/>
    </row>
    <row r="11" customFormat="false" ht="15" hidden="false" customHeight="true" outlineLevel="0" collapsed="false">
      <c r="A11" s="22" t="s">
        <v>193</v>
      </c>
      <c r="B11" s="23" t="n">
        <v>25</v>
      </c>
      <c r="C11" s="23" t="n">
        <v>0</v>
      </c>
      <c r="D11" s="24" t="n">
        <f aca="false">B11+C11*Wyjaśnienia!$B$17/60</f>
        <v>25</v>
      </c>
      <c r="E11" s="25" t="n">
        <f aca="false">D11*Wyjaśnienia!$B$16</f>
        <v>5500</v>
      </c>
      <c r="F11" s="15" t="s">
        <v>194</v>
      </c>
      <c r="G11" s="26" t="n">
        <v>2027</v>
      </c>
      <c r="H11" s="3"/>
    </row>
    <row r="12" customFormat="false" ht="15" hidden="false" customHeight="true" outlineLevel="0" collapsed="false">
      <c r="A12" s="22" t="s">
        <v>195</v>
      </c>
      <c r="B12" s="23" t="n">
        <v>160</v>
      </c>
      <c r="C12" s="23" t="n">
        <v>0</v>
      </c>
      <c r="D12" s="24" t="n">
        <f aca="false">B12+C12*Wyjaśnienia!$B$17/60</f>
        <v>160</v>
      </c>
      <c r="E12" s="25" t="n">
        <f aca="false">D12*Wyjaśnienia!$B$16</f>
        <v>35200</v>
      </c>
      <c r="F12" s="15" t="s">
        <v>196</v>
      </c>
      <c r="G12" s="26" t="n">
        <v>2027</v>
      </c>
      <c r="H12" s="3"/>
    </row>
    <row r="13" customFormat="false" ht="15" hidden="false" customHeight="true" outlineLevel="0" collapsed="false">
      <c r="A13" s="22" t="s">
        <v>197</v>
      </c>
      <c r="B13" s="23" t="n">
        <v>50</v>
      </c>
      <c r="C13" s="23" t="n">
        <v>0</v>
      </c>
      <c r="D13" s="24" t="n">
        <f aca="false">B13+C13*Wyjaśnienia!$B$17/60</f>
        <v>50</v>
      </c>
      <c r="E13" s="25" t="n">
        <f aca="false">D13*Wyjaśnienia!$B$16</f>
        <v>11000</v>
      </c>
      <c r="F13" s="15" t="s">
        <v>198</v>
      </c>
      <c r="G13" s="26" t="n">
        <v>2027</v>
      </c>
      <c r="H13" s="3"/>
    </row>
    <row r="14" customFormat="false" ht="15" hidden="false" customHeight="true" outlineLevel="0" collapsed="false">
      <c r="A14" s="22" t="s">
        <v>199</v>
      </c>
      <c r="B14" s="23" t="n">
        <v>72</v>
      </c>
      <c r="C14" s="23" t="n">
        <v>0</v>
      </c>
      <c r="D14" s="24" t="n">
        <f aca="false">B14+C14*Wyjaśnienia!$B$17/60</f>
        <v>72</v>
      </c>
      <c r="E14" s="25" t="n">
        <f aca="false">D14*Wyjaśnienia!$B$16</f>
        <v>15840</v>
      </c>
      <c r="F14" s="15"/>
      <c r="G14" s="26" t="n">
        <v>2027</v>
      </c>
    </row>
    <row r="15" customFormat="false" ht="15" hidden="false" customHeight="true" outlineLevel="0" collapsed="false">
      <c r="A15" s="6" t="s">
        <v>152</v>
      </c>
      <c r="B15" s="3"/>
      <c r="C15" s="3"/>
      <c r="D15" s="27" t="n">
        <f aca="false">SUM(D7:D14)</f>
        <v>452</v>
      </c>
      <c r="E15" s="9" t="n">
        <f aca="false">SUM(E7:E14)</f>
        <v>99440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153</v>
      </c>
      <c r="B17" s="5"/>
      <c r="C17" s="5"/>
      <c r="D17" s="5"/>
      <c r="E17" s="5"/>
      <c r="F17" s="5"/>
      <c r="H17" s="3"/>
    </row>
    <row r="18" customFormat="false" ht="15" hidden="false" customHeight="true" outlineLevel="0" collapsed="false">
      <c r="A18" s="6" t="s">
        <v>125</v>
      </c>
      <c r="B18" s="7" t="s">
        <v>154</v>
      </c>
      <c r="C18" s="7" t="s">
        <v>155</v>
      </c>
      <c r="D18" s="7" t="s">
        <v>129</v>
      </c>
      <c r="E18" s="6" t="s">
        <v>130</v>
      </c>
      <c r="F18" s="3"/>
      <c r="G18" s="6" t="s">
        <v>131</v>
      </c>
      <c r="H18" s="3"/>
    </row>
    <row r="19" customFormat="false" ht="15" hidden="false" customHeight="true" outlineLevel="0" collapsed="false">
      <c r="A19" s="22" t="s">
        <v>200</v>
      </c>
      <c r="B19" s="28" t="n">
        <v>3000</v>
      </c>
      <c r="C19" s="23" t="n">
        <v>1</v>
      </c>
      <c r="D19" s="25" t="n">
        <f aca="false">B19*C19</f>
        <v>3000</v>
      </c>
      <c r="E19" s="15" t="s">
        <v>201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202</v>
      </c>
      <c r="B20" s="28" t="n">
        <v>6000</v>
      </c>
      <c r="C20" s="23" t="n">
        <v>1</v>
      </c>
      <c r="D20" s="25" t="n">
        <f aca="false">B20*C20</f>
        <v>6000</v>
      </c>
      <c r="E20" s="15" t="s">
        <v>203</v>
      </c>
      <c r="F20" s="3" t="s">
        <v>204</v>
      </c>
      <c r="G20" s="26" t="n">
        <v>2027</v>
      </c>
      <c r="H20" s="3"/>
    </row>
    <row r="21" customFormat="false" ht="15" hidden="false" customHeight="true" outlineLevel="0" collapsed="false">
      <c r="A21" s="22" t="s">
        <v>205</v>
      </c>
      <c r="B21" s="28" t="n">
        <v>10000</v>
      </c>
      <c r="C21" s="23" t="n">
        <v>1</v>
      </c>
      <c r="D21" s="25" t="n">
        <f aca="false">B21*C21</f>
        <v>10000</v>
      </c>
      <c r="E21" s="15" t="s">
        <v>206</v>
      </c>
      <c r="F21" s="3"/>
      <c r="G21" s="26" t="n">
        <v>2027</v>
      </c>
      <c r="H21" s="3"/>
    </row>
    <row r="22" customFormat="false" ht="15" hidden="false" customHeight="true" outlineLevel="0" collapsed="false">
      <c r="A22" s="22" t="s">
        <v>207</v>
      </c>
      <c r="B22" s="28" t="n">
        <v>40000</v>
      </c>
      <c r="C22" s="23" t="n">
        <v>1</v>
      </c>
      <c r="D22" s="25" t="n">
        <f aca="false">B22*C22</f>
        <v>40000</v>
      </c>
      <c r="E22" s="15" t="s">
        <v>208</v>
      </c>
      <c r="F22" s="3"/>
      <c r="G22" s="26" t="n">
        <v>2028</v>
      </c>
      <c r="H22" s="3"/>
    </row>
    <row r="23" customFormat="false" ht="15" hidden="false" customHeight="true" outlineLevel="0" collapsed="false">
      <c r="A23" s="22" t="s">
        <v>209</v>
      </c>
      <c r="B23" s="28" t="n">
        <v>4000</v>
      </c>
      <c r="C23" s="23" t="n">
        <v>1</v>
      </c>
      <c r="D23" s="25" t="n">
        <f aca="false">B23*C23</f>
        <v>4000</v>
      </c>
      <c r="E23" s="15" t="s">
        <v>210</v>
      </c>
      <c r="F23" s="3"/>
      <c r="G23" s="26" t="n">
        <v>2028</v>
      </c>
      <c r="H23" s="3"/>
    </row>
    <row r="24" customFormat="false" ht="15" hidden="false" customHeight="true" outlineLevel="0" collapsed="false">
      <c r="A24" s="22" t="s">
        <v>211</v>
      </c>
      <c r="B24" s="28" t="n">
        <v>3000</v>
      </c>
      <c r="C24" s="23" t="n">
        <v>1</v>
      </c>
      <c r="D24" s="25" t="n">
        <f aca="false">B24*C24</f>
        <v>3000</v>
      </c>
      <c r="E24" s="15" t="s">
        <v>212</v>
      </c>
      <c r="F24" s="3"/>
      <c r="G24" s="26" t="n">
        <v>2028</v>
      </c>
      <c r="H24" s="3"/>
    </row>
    <row r="25" customFormat="false" ht="15" hidden="false" customHeight="true" outlineLevel="0" collapsed="false">
      <c r="A25" s="22" t="s">
        <v>213</v>
      </c>
      <c r="B25" s="28" t="n">
        <v>4000</v>
      </c>
      <c r="C25" s="23" t="n">
        <v>1</v>
      </c>
      <c r="D25" s="25" t="n">
        <f aca="false">B25*C25</f>
        <v>4000</v>
      </c>
      <c r="E25" s="15" t="s">
        <v>214</v>
      </c>
      <c r="F25" s="3"/>
      <c r="G25" s="26" t="n">
        <v>2028</v>
      </c>
      <c r="H25" s="3"/>
    </row>
    <row r="26" customFormat="false" ht="15" hidden="false" customHeight="true" outlineLevel="0" collapsed="false">
      <c r="A26" s="22" t="s">
        <v>215</v>
      </c>
      <c r="B26" s="28" t="n">
        <v>0</v>
      </c>
      <c r="C26" s="23" t="n">
        <v>1</v>
      </c>
      <c r="D26" s="25" t="n">
        <f aca="false">B26*C26</f>
        <v>0</v>
      </c>
      <c r="E26" s="15" t="s">
        <v>216</v>
      </c>
      <c r="F26" s="3"/>
      <c r="G26" s="26" t="n">
        <v>2028</v>
      </c>
      <c r="H26" s="3"/>
    </row>
    <row r="27" customFormat="false" ht="15" hidden="false" customHeight="true" outlineLevel="0" collapsed="false">
      <c r="A27" s="22" t="s">
        <v>217</v>
      </c>
      <c r="B27" s="28" t="n">
        <v>15000</v>
      </c>
      <c r="C27" s="23" t="n">
        <v>1</v>
      </c>
      <c r="D27" s="25" t="n">
        <f aca="false">B27*C27</f>
        <v>15000</v>
      </c>
      <c r="E27" s="15" t="s">
        <v>218</v>
      </c>
      <c r="F27" s="3"/>
      <c r="G27" s="26" t="n">
        <v>2027</v>
      </c>
      <c r="H27" s="3"/>
    </row>
    <row r="28" customFormat="false" ht="15" hidden="false" customHeight="true" outlineLevel="0" collapsed="false">
      <c r="A28" s="22" t="s">
        <v>219</v>
      </c>
      <c r="B28" s="28" t="n">
        <v>6000</v>
      </c>
      <c r="C28" s="23" t="n">
        <v>1</v>
      </c>
      <c r="D28" s="25" t="n">
        <f aca="false">B28*C28</f>
        <v>6000</v>
      </c>
      <c r="E28" s="15" t="s">
        <v>220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221</v>
      </c>
      <c r="B29" s="28" t="n">
        <v>30000</v>
      </c>
      <c r="C29" s="23" t="n">
        <v>1</v>
      </c>
      <c r="D29" s="25" t="n">
        <f aca="false">B29*C29</f>
        <v>30000</v>
      </c>
      <c r="E29" s="15" t="s">
        <v>222</v>
      </c>
      <c r="F29" s="3"/>
      <c r="G29" s="26" t="n">
        <v>2027</v>
      </c>
      <c r="H29" s="3"/>
    </row>
    <row r="30" customFormat="false" ht="15" hidden="false" customHeight="true" outlineLevel="0" collapsed="false">
      <c r="A30" s="31" t="s">
        <v>223</v>
      </c>
      <c r="B30" s="18" t="n">
        <v>4500</v>
      </c>
      <c r="C30" s="32" t="n">
        <v>1</v>
      </c>
      <c r="D30" s="8" t="n">
        <f aca="false">B30*C30</f>
        <v>4500</v>
      </c>
      <c r="F30" s="31" t="s">
        <v>224</v>
      </c>
      <c r="G30" s="26" t="n">
        <v>2027</v>
      </c>
    </row>
    <row r="31" customFormat="false" ht="15" hidden="false" customHeight="true" outlineLevel="0" collapsed="false">
      <c r="A31" s="31" t="s">
        <v>225</v>
      </c>
      <c r="B31" s="18" t="n">
        <v>0</v>
      </c>
      <c r="C31" s="32" t="n">
        <v>1</v>
      </c>
      <c r="D31" s="8" t="n">
        <f aca="false">B31*C31</f>
        <v>0</v>
      </c>
      <c r="E31" s="1" t="s">
        <v>226</v>
      </c>
      <c r="F31" s="31"/>
      <c r="G31" s="26" t="n">
        <v>2027</v>
      </c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SUM(D19:D31)</f>
        <v>125500</v>
      </c>
      <c r="E32" s="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H33" s="3"/>
    </row>
    <row r="34" customFormat="false" ht="15" hidden="false" customHeight="true" outlineLevel="0" collapsed="false">
      <c r="A34" s="5" t="s">
        <v>176</v>
      </c>
      <c r="B34" s="5"/>
      <c r="C34" s="5"/>
      <c r="D34" s="5"/>
      <c r="E34" s="5"/>
      <c r="F34" s="5"/>
      <c r="H34" s="3"/>
    </row>
    <row r="35" customFormat="false" ht="15" hidden="false" customHeight="true" outlineLevel="0" collapsed="false">
      <c r="A35" s="22" t="s">
        <v>178</v>
      </c>
      <c r="B35" s="3"/>
      <c r="C35" s="3"/>
      <c r="D35" s="8" t="n">
        <f aca="false">E15</f>
        <v>99440</v>
      </c>
      <c r="E35" s="3"/>
      <c r="F35" s="3"/>
      <c r="H35" s="3"/>
    </row>
    <row r="36" customFormat="false" ht="15" hidden="false" customHeight="true" outlineLevel="0" collapsed="false">
      <c r="A36" s="22" t="s">
        <v>179</v>
      </c>
      <c r="B36" s="3"/>
      <c r="C36" s="3"/>
      <c r="D36" s="8" t="n">
        <f aca="false">D32</f>
        <v>125500</v>
      </c>
      <c r="E36" s="3"/>
      <c r="F36" s="3"/>
      <c r="H36" s="3"/>
    </row>
    <row r="37" customFormat="false" ht="15" hidden="false" customHeight="true" outlineLevel="0" collapsed="false">
      <c r="A37" s="22" t="s">
        <v>227</v>
      </c>
      <c r="B37" s="3"/>
      <c r="C37" s="3"/>
      <c r="D37" s="8" t="n">
        <f aca="false">(D35+D36)*Wyjaśnienia!$B$31</f>
        <v>67482</v>
      </c>
      <c r="E37" s="3"/>
      <c r="F37" s="3"/>
      <c r="H37" s="3"/>
    </row>
    <row r="38" customFormat="false" ht="15" hidden="false" customHeight="true" outlineLevel="0" collapsed="false">
      <c r="A38" s="6" t="s">
        <v>181</v>
      </c>
      <c r="B38" s="3"/>
      <c r="C38" s="3"/>
      <c r="D38" s="9" t="n">
        <f aca="false">SUM(D35:D37)</f>
        <v>292422</v>
      </c>
      <c r="E38" s="3"/>
      <c r="F38" s="3"/>
      <c r="H38" s="3"/>
    </row>
    <row r="39" customFormat="false" ht="15" hidden="false" customHeight="true" outlineLevel="0" collapsed="false">
      <c r="A39" s="22" t="s">
        <v>182</v>
      </c>
      <c r="B39" s="3"/>
      <c r="C39" s="3"/>
      <c r="D39" s="8" t="n">
        <f aca="false">D38*Wyjaśnienia!$B$33</f>
        <v>67257.06</v>
      </c>
      <c r="E39" s="3"/>
      <c r="F39" s="3"/>
      <c r="H39" s="3"/>
    </row>
    <row r="40" customFormat="false" ht="15" hidden="false" customHeight="true" outlineLevel="0" collapsed="false">
      <c r="A40" s="6" t="s">
        <v>183</v>
      </c>
      <c r="B40" s="3"/>
      <c r="C40" s="3"/>
      <c r="D40" s="30" t="n">
        <f aca="false">D38+D39</f>
        <v>359679.06</v>
      </c>
      <c r="E40" s="3"/>
      <c r="F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228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229</v>
      </c>
      <c r="B7" s="23" t="n">
        <v>0</v>
      </c>
      <c r="C7" s="23" t="n">
        <v>10</v>
      </c>
      <c r="D7" s="24" t="n">
        <f aca="false">B7+C7*Wyjaśnienia!$B$23/60</f>
        <v>25</v>
      </c>
      <c r="E7" s="25" t="n">
        <f aca="false">D7*Wyjaśnienia!$B$16</f>
        <v>5500</v>
      </c>
      <c r="F7" s="15" t="s">
        <v>230</v>
      </c>
      <c r="G7" s="26" t="n">
        <v>2027</v>
      </c>
      <c r="H7" s="3"/>
    </row>
    <row r="8" customFormat="false" ht="15" hidden="false" customHeight="true" outlineLevel="0" collapsed="false">
      <c r="A8" s="22" t="s">
        <v>231</v>
      </c>
      <c r="B8" s="23" t="n">
        <v>40</v>
      </c>
      <c r="C8" s="24"/>
      <c r="D8" s="24" t="n">
        <f aca="false">B8+C8*Wyjaśnienia!$B$23/60</f>
        <v>40</v>
      </c>
      <c r="E8" s="25" t="n">
        <f aca="false">D8*Wyjaśnienia!$B$16</f>
        <v>8800</v>
      </c>
      <c r="F8" s="15" t="s">
        <v>232</v>
      </c>
      <c r="G8" s="26" t="n">
        <v>2028</v>
      </c>
      <c r="H8" s="3"/>
    </row>
    <row r="9" customFormat="false" ht="15" hidden="false" customHeight="true" outlineLevel="0" collapsed="false">
      <c r="A9" s="22" t="s">
        <v>233</v>
      </c>
      <c r="B9" s="23" t="n">
        <v>30</v>
      </c>
      <c r="C9" s="24"/>
      <c r="D9" s="24" t="n">
        <f aca="false">B9+C9*Wyjaśnienia!$B$23/60</f>
        <v>30</v>
      </c>
      <c r="E9" s="25" t="n">
        <f aca="false">D9*Wyjaśnienia!$B$16</f>
        <v>6600</v>
      </c>
      <c r="F9" s="15" t="s">
        <v>234</v>
      </c>
      <c r="G9" s="26" t="n">
        <v>2028</v>
      </c>
      <c r="H9" s="3"/>
    </row>
    <row r="10" customFormat="false" ht="15" hidden="false" customHeight="true" outlineLevel="0" collapsed="false">
      <c r="A10" s="22" t="s">
        <v>235</v>
      </c>
      <c r="B10" s="23" t="n">
        <v>20</v>
      </c>
      <c r="C10" s="24"/>
      <c r="D10" s="24" t="n">
        <f aca="false">B10+C10*Wyjaśnienia!$B$23/60</f>
        <v>20</v>
      </c>
      <c r="E10" s="25" t="n">
        <f aca="false">D10*Wyjaśnienia!$B$16</f>
        <v>4400</v>
      </c>
      <c r="F10" s="15" t="s">
        <v>236</v>
      </c>
      <c r="G10" s="26" t="n">
        <v>2028</v>
      </c>
      <c r="H10" s="3"/>
    </row>
    <row r="11" customFormat="false" ht="15" hidden="false" customHeight="true" outlineLevel="0" collapsed="false">
      <c r="A11" s="22" t="s">
        <v>237</v>
      </c>
      <c r="B11" s="23" t="n">
        <v>50</v>
      </c>
      <c r="C11" s="24"/>
      <c r="D11" s="24" t="n">
        <f aca="false">B11+C11*Wyjaśnienia!$B$23/60</f>
        <v>50</v>
      </c>
      <c r="E11" s="25" t="n">
        <f aca="false">D11*Wyjaśnienia!$B$16</f>
        <v>11000</v>
      </c>
      <c r="F11" s="15" t="s">
        <v>238</v>
      </c>
      <c r="G11" s="26" t="n">
        <v>2027</v>
      </c>
      <c r="H11" s="3"/>
    </row>
    <row r="12" customFormat="false" ht="15" hidden="false" customHeight="true" outlineLevel="0" collapsed="false">
      <c r="A12" s="6" t="s">
        <v>152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239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153</v>
      </c>
      <c r="B14" s="5"/>
      <c r="C14" s="5"/>
      <c r="D14" s="5"/>
      <c r="E14" s="5"/>
      <c r="F14" s="5"/>
      <c r="H14" s="3"/>
    </row>
    <row r="15" customFormat="false" ht="15" hidden="false" customHeight="true" outlineLevel="0" collapsed="false">
      <c r="A15" s="6" t="s">
        <v>125</v>
      </c>
      <c r="B15" s="7" t="s">
        <v>154</v>
      </c>
      <c r="C15" s="7" t="s">
        <v>155</v>
      </c>
      <c r="D15" s="7" t="s">
        <v>129</v>
      </c>
      <c r="E15" s="6" t="s">
        <v>130</v>
      </c>
      <c r="F15" s="3"/>
      <c r="G15" s="6" t="s">
        <v>131</v>
      </c>
      <c r="H15" s="3"/>
    </row>
    <row r="16" customFormat="false" ht="15" hidden="false" customHeight="true" outlineLevel="0" collapsed="false">
      <c r="A16" s="22" t="s">
        <v>240</v>
      </c>
      <c r="B16" s="25" t="n">
        <f aca="false">Wyjaśnienia!$B$24</f>
        <v>35000</v>
      </c>
      <c r="C16" s="23" t="n">
        <v>1</v>
      </c>
      <c r="D16" s="25" t="n">
        <f aca="false">B16*C16</f>
        <v>35000</v>
      </c>
      <c r="E16" s="15" t="s">
        <v>241</v>
      </c>
      <c r="F16" s="3"/>
      <c r="G16" s="26" t="n">
        <v>2028</v>
      </c>
      <c r="H16" s="3"/>
    </row>
    <row r="17" customFormat="false" ht="15" hidden="false" customHeight="true" outlineLevel="0" collapsed="false">
      <c r="A17" s="22" t="s">
        <v>169</v>
      </c>
      <c r="B17" s="25" t="n">
        <f aca="false">Wyjaśnienia!$B$25</f>
        <v>12000</v>
      </c>
      <c r="C17" s="23" t="n">
        <v>1</v>
      </c>
      <c r="D17" s="25" t="n">
        <f aca="false">B17*C17</f>
        <v>12000</v>
      </c>
      <c r="E17" s="15" t="s">
        <v>170</v>
      </c>
      <c r="F17" s="3"/>
      <c r="G17" s="26" t="n">
        <v>2028</v>
      </c>
      <c r="H17" s="3"/>
    </row>
    <row r="18" customFormat="false" ht="15" hidden="false" customHeight="true" outlineLevel="0" collapsed="false">
      <c r="A18" s="22" t="s">
        <v>242</v>
      </c>
      <c r="B18" s="25" t="n">
        <f aca="false">Wyjaśnienia!$B$26</f>
        <v>7500</v>
      </c>
      <c r="C18" s="24" t="n">
        <f aca="false">Wyjaśnienia!$B$27</f>
        <v>10</v>
      </c>
      <c r="D18" s="25" t="n">
        <f aca="false">B18*C18</f>
        <v>75000</v>
      </c>
      <c r="E18" s="15" t="s">
        <v>243</v>
      </c>
      <c r="F18" s="3"/>
      <c r="G18" s="26" t="n">
        <v>2028</v>
      </c>
      <c r="H18" s="3"/>
    </row>
    <row r="19" customFormat="false" ht="15" hidden="false" customHeight="true" outlineLevel="0" collapsed="false">
      <c r="A19" s="22" t="s">
        <v>47</v>
      </c>
      <c r="B19" s="25" t="n">
        <f aca="false">Wyjaśnienia!$B$28</f>
        <v>80000</v>
      </c>
      <c r="C19" s="23" t="n">
        <v>1</v>
      </c>
      <c r="D19" s="25" t="n">
        <f aca="false">B19*C19</f>
        <v>80000</v>
      </c>
      <c r="E19" s="15" t="s">
        <v>244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245</v>
      </c>
      <c r="B20" s="25" t="n">
        <f aca="false">Wyjaśnienia!$B$29</f>
        <v>1200</v>
      </c>
      <c r="C20" s="23" t="n">
        <v>1</v>
      </c>
      <c r="D20" s="25" t="n">
        <f aca="false">B20*C20</f>
        <v>1200</v>
      </c>
      <c r="E20" s="15" t="s">
        <v>246</v>
      </c>
      <c r="F20" s="3"/>
      <c r="G20" s="26" t="n">
        <v>2028</v>
      </c>
      <c r="H20" s="3"/>
    </row>
    <row r="21" customFormat="false" ht="15" hidden="false" customHeight="true" outlineLevel="0" collapsed="false">
      <c r="A21" s="22" t="s">
        <v>247</v>
      </c>
      <c r="B21" s="28" t="n">
        <v>0</v>
      </c>
      <c r="C21" s="23" t="n">
        <v>1</v>
      </c>
      <c r="D21" s="25" t="n">
        <f aca="false">B21*C21</f>
        <v>0</v>
      </c>
      <c r="E21" s="15" t="s">
        <v>248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165</v>
      </c>
      <c r="B22" s="28" t="n">
        <v>0</v>
      </c>
      <c r="C22" s="23" t="n">
        <v>1</v>
      </c>
      <c r="D22" s="25" t="n">
        <f aca="false">B22*C22</f>
        <v>0</v>
      </c>
      <c r="E22" s="15" t="s">
        <v>249</v>
      </c>
      <c r="F22" s="3"/>
      <c r="G22" s="26" t="n">
        <v>2027</v>
      </c>
    </row>
    <row r="23" customFormat="false" ht="15" hidden="false" customHeight="true" outlineLevel="0" collapsed="false">
      <c r="A23" s="22" t="s">
        <v>250</v>
      </c>
      <c r="B23" s="28" t="n">
        <v>0</v>
      </c>
      <c r="C23" s="23" t="n">
        <v>1</v>
      </c>
      <c r="D23" s="25" t="n">
        <f aca="false">B23*C23</f>
        <v>0</v>
      </c>
      <c r="E23" s="15" t="s">
        <v>251</v>
      </c>
      <c r="F23" s="3"/>
      <c r="G23" s="26" t="n">
        <v>2028</v>
      </c>
      <c r="H23" s="3"/>
    </row>
    <row r="24" customFormat="false" ht="15" hidden="false" customHeight="true" outlineLevel="0" collapsed="false">
      <c r="A24" s="31" t="s">
        <v>252</v>
      </c>
      <c r="B24" s="18" t="n">
        <v>0</v>
      </c>
      <c r="C24" s="32" t="n">
        <v>1</v>
      </c>
      <c r="D24" s="8" t="n">
        <f aca="false">B24*C24</f>
        <v>0</v>
      </c>
      <c r="E24" s="1" t="s">
        <v>253</v>
      </c>
      <c r="F24" s="31" t="s">
        <v>254</v>
      </c>
      <c r="G24" s="26" t="n">
        <v>2027</v>
      </c>
    </row>
    <row r="25" customFormat="false" ht="15" hidden="false" customHeight="true" outlineLevel="0" collapsed="false">
      <c r="A25" s="31" t="s">
        <v>255</v>
      </c>
      <c r="B25" s="18" t="n">
        <v>0</v>
      </c>
      <c r="C25" s="32" t="n">
        <v>1</v>
      </c>
      <c r="D25" s="8" t="n">
        <f aca="false">B25*C25</f>
        <v>0</v>
      </c>
      <c r="E25" s="1" t="s">
        <v>256</v>
      </c>
      <c r="F25" s="31"/>
      <c r="G25" s="26" t="n">
        <v>2028</v>
      </c>
    </row>
    <row r="26" customFormat="false" ht="15" hidden="false" customHeight="true" outlineLevel="0" collapsed="false">
      <c r="A26" s="6" t="s">
        <v>175</v>
      </c>
      <c r="D26" s="3" t="n">
        <f aca="false">SUM(D16:D25)</f>
        <v>203200</v>
      </c>
      <c r="H26" s="3"/>
    </row>
    <row r="27" customFormat="false" ht="15" hidden="false" customHeight="true" outlineLevel="0" collapsed="false">
      <c r="A27" s="29"/>
      <c r="B27" s="29"/>
      <c r="C27" s="29"/>
      <c r="D27" s="29"/>
      <c r="E27" s="29"/>
      <c r="F27" s="29"/>
      <c r="H27" s="3"/>
    </row>
    <row r="28" customFormat="false" ht="15" hidden="false" customHeight="true" outlineLevel="0" collapsed="false">
      <c r="A28" s="5" t="s">
        <v>176</v>
      </c>
      <c r="B28" s="5"/>
      <c r="C28" s="5"/>
      <c r="D28" s="5"/>
      <c r="E28" s="5"/>
      <c r="F28" s="5"/>
      <c r="H28" s="3"/>
    </row>
    <row r="29" customFormat="false" ht="15" hidden="false" customHeight="true" outlineLevel="0" collapsed="false">
      <c r="A29" s="22" t="s">
        <v>177</v>
      </c>
      <c r="B29" s="3"/>
      <c r="C29" s="3"/>
      <c r="D29" s="25" t="n">
        <f aca="false">Wyjaśnienia!$B$24+Wyjaśnienia!$B$25</f>
        <v>47000</v>
      </c>
      <c r="E29" s="3"/>
      <c r="F29" s="3"/>
      <c r="H29" s="3"/>
    </row>
    <row r="30" customFormat="false" ht="15" hidden="false" customHeight="true" outlineLevel="0" collapsed="false">
      <c r="A30" s="22" t="s">
        <v>178</v>
      </c>
      <c r="B30" s="3"/>
      <c r="C30" s="3"/>
      <c r="D30" s="8" t="n">
        <f aca="false">E12</f>
        <v>36300</v>
      </c>
      <c r="E30" s="3"/>
      <c r="F30" s="3"/>
      <c r="H30" s="3"/>
    </row>
    <row r="31" customFormat="false" ht="15" hidden="false" customHeight="true" outlineLevel="0" collapsed="false">
      <c r="A31" s="22" t="s">
        <v>257</v>
      </c>
      <c r="B31" s="3"/>
      <c r="C31" s="3"/>
      <c r="D31" s="8" t="n">
        <f aca="false">D26-D29</f>
        <v>156200</v>
      </c>
      <c r="E31" s="3"/>
      <c r="F31" s="3"/>
      <c r="H31" s="3"/>
    </row>
    <row r="32" customFormat="false" ht="15" hidden="false" customHeight="true" outlineLevel="0" collapsed="false">
      <c r="A32" s="22" t="s">
        <v>180</v>
      </c>
      <c r="B32" s="3"/>
      <c r="C32" s="3"/>
      <c r="D32" s="8" t="n">
        <f aca="false">(D30+D31)*Wyjaśnienia!$B$32</f>
        <v>23100</v>
      </c>
      <c r="E32" s="3"/>
      <c r="F32" s="3"/>
      <c r="H32" s="3"/>
    </row>
    <row r="33" customFormat="false" ht="15" hidden="false" customHeight="true" outlineLevel="0" collapsed="false">
      <c r="A33" s="6" t="s">
        <v>181</v>
      </c>
      <c r="B33" s="3"/>
      <c r="C33" s="3"/>
      <c r="D33" s="9" t="n">
        <f aca="false">SUM(D29:D32)</f>
        <v>262600</v>
      </c>
      <c r="E33" s="3"/>
      <c r="F33" s="3"/>
      <c r="H33" s="3"/>
    </row>
    <row r="34" customFormat="false" ht="15" hidden="false" customHeight="true" outlineLevel="0" collapsed="false">
      <c r="A34" s="22" t="s">
        <v>182</v>
      </c>
      <c r="B34" s="3"/>
      <c r="C34" s="3"/>
      <c r="D34" s="8" t="n">
        <f aca="false">D33*Wyjaśnienia!$B$33</f>
        <v>60398</v>
      </c>
      <c r="E34" s="3"/>
      <c r="F34" s="3"/>
      <c r="H34" s="3"/>
    </row>
    <row r="35" customFormat="false" ht="15" hidden="false" customHeight="true" outlineLevel="0" collapsed="false">
      <c r="A35" s="6" t="s">
        <v>183</v>
      </c>
      <c r="B35" s="3"/>
      <c r="C35" s="3"/>
      <c r="D35" s="30" t="n">
        <f aca="false">D33+D34</f>
        <v>322998</v>
      </c>
      <c r="E35" s="3"/>
      <c r="F35" s="3"/>
      <c r="H35" s="3"/>
    </row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7:F27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14</v>
      </c>
      <c r="B1" s="33"/>
      <c r="C1" s="33"/>
      <c r="D1" s="33"/>
      <c r="E1" s="33"/>
      <c r="F1" s="33"/>
    </row>
    <row r="2" customFormat="false" ht="15" hidden="false" customHeight="true" outlineLevel="0" collapsed="false">
      <c r="A2" s="29" t="s">
        <v>258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123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3" t="s">
        <v>124</v>
      </c>
      <c r="B5" s="33"/>
      <c r="C5" s="33"/>
      <c r="D5" s="33"/>
      <c r="E5" s="33"/>
      <c r="F5" s="33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  <c r="G6" s="10" t="s">
        <v>131</v>
      </c>
    </row>
    <row r="7" customFormat="false" ht="15" hidden="false" customHeight="true" outlineLevel="0" collapsed="false">
      <c r="A7" s="3" t="s">
        <v>259</v>
      </c>
      <c r="B7" s="21" t="n">
        <v>0</v>
      </c>
      <c r="C7" s="21" t="n">
        <v>8</v>
      </c>
      <c r="D7" s="26" t="n">
        <f aca="false">B7+C7*Wyjaśnienia!$B$53/60</f>
        <v>20</v>
      </c>
      <c r="E7" s="8" t="n">
        <f aca="false">D7*Wyjaśnienia!$B$16</f>
        <v>4400</v>
      </c>
      <c r="F7" s="3" t="s">
        <v>260</v>
      </c>
      <c r="G7" s="26" t="n">
        <v>2027</v>
      </c>
    </row>
    <row r="8" customFormat="false" ht="15" hidden="false" customHeight="true" outlineLevel="0" collapsed="false">
      <c r="A8" s="3" t="s">
        <v>261</v>
      </c>
      <c r="B8" s="21" t="n">
        <v>30</v>
      </c>
      <c r="C8" s="26"/>
      <c r="D8" s="26" t="n">
        <f aca="false">B8+C8*Wyjaśnienia!$B$53/60</f>
        <v>30</v>
      </c>
      <c r="E8" s="8" t="n">
        <f aca="false">D8*Wyjaśnienia!$B$16</f>
        <v>6600</v>
      </c>
      <c r="F8" s="3" t="s">
        <v>262</v>
      </c>
      <c r="G8" s="26" t="n">
        <v>2028</v>
      </c>
    </row>
    <row r="9" customFormat="false" ht="15" hidden="false" customHeight="true" outlineLevel="0" collapsed="false">
      <c r="A9" s="3" t="s">
        <v>235</v>
      </c>
      <c r="B9" s="21" t="n">
        <v>20</v>
      </c>
      <c r="C9" s="26"/>
      <c r="D9" s="26" t="n">
        <f aca="false">B9+C9*Wyjaśnienia!$B$53/60</f>
        <v>20</v>
      </c>
      <c r="E9" s="8" t="n">
        <f aca="false">D9*Wyjaśnienia!$B$16</f>
        <v>4400</v>
      </c>
      <c r="F9" s="3" t="s">
        <v>263</v>
      </c>
      <c r="G9" s="26" t="n">
        <v>2028</v>
      </c>
    </row>
    <row r="10" customFormat="false" ht="15" hidden="false" customHeight="true" outlineLevel="0" collapsed="false">
      <c r="A10" s="3" t="s">
        <v>264</v>
      </c>
      <c r="B10" s="21" t="n">
        <v>35</v>
      </c>
      <c r="C10" s="26"/>
      <c r="D10" s="26" t="n">
        <f aca="false">B10+C10*Wyjaśnienia!$B$53/60</f>
        <v>35</v>
      </c>
      <c r="E10" s="8" t="n">
        <f aca="false">D10*Wyjaśnienia!$B$16</f>
        <v>7700</v>
      </c>
      <c r="F10" s="3" t="s">
        <v>265</v>
      </c>
      <c r="G10" s="26" t="n">
        <v>2028</v>
      </c>
    </row>
    <row r="11" customFormat="false" ht="15" hidden="false" customHeight="true" outlineLevel="0" collapsed="false">
      <c r="A11" s="3" t="s">
        <v>266</v>
      </c>
      <c r="B11" s="21" t="n">
        <v>15</v>
      </c>
      <c r="C11" s="26"/>
      <c r="D11" s="26" t="n">
        <f aca="false">B11+C11*Wyjaśnienia!$B$53/60</f>
        <v>15</v>
      </c>
      <c r="E11" s="8" t="n">
        <f aca="false">D11*Wyjaśnienia!$B$16</f>
        <v>3300</v>
      </c>
      <c r="F11" s="3" t="s">
        <v>267</v>
      </c>
      <c r="G11" s="26" t="n">
        <v>2028</v>
      </c>
    </row>
    <row r="12" customFormat="false" ht="15" hidden="false" customHeight="true" outlineLevel="0" collapsed="false">
      <c r="A12" s="3" t="s">
        <v>268</v>
      </c>
      <c r="B12" s="21" t="n">
        <v>50</v>
      </c>
      <c r="C12" s="26"/>
      <c r="D12" s="26" t="n">
        <f aca="false">B12+C12*Wyjaśnienia!$B$53/60</f>
        <v>50</v>
      </c>
      <c r="E12" s="8" t="n">
        <f aca="false">D12*Wyjaśnienia!$B$16</f>
        <v>11000</v>
      </c>
      <c r="F12" s="3" t="s">
        <v>269</v>
      </c>
      <c r="G12" s="26" t="n">
        <v>2027</v>
      </c>
    </row>
    <row r="13" customFormat="false" ht="15" hidden="false" customHeight="true" outlineLevel="0" collapsed="false">
      <c r="A13" s="3" t="s">
        <v>270</v>
      </c>
      <c r="B13" s="21" t="n">
        <v>20</v>
      </c>
      <c r="C13" s="26"/>
      <c r="D13" s="26" t="n">
        <f aca="false">B13+C13*Wyjaśnienia!$B$53/60</f>
        <v>20</v>
      </c>
      <c r="E13" s="8" t="n">
        <f aca="false">D13*Wyjaśnienia!$B$16</f>
        <v>4400</v>
      </c>
      <c r="F13" s="3" t="s">
        <v>271</v>
      </c>
      <c r="G13" s="26" t="n">
        <v>2028</v>
      </c>
    </row>
    <row r="14" customFormat="false" ht="15" hidden="false" customHeight="true" outlineLevel="0" collapsed="false">
      <c r="A14" s="10" t="s">
        <v>152</v>
      </c>
      <c r="D14" s="34" t="n">
        <f aca="false">SUM(D7:D13)</f>
        <v>190</v>
      </c>
      <c r="E14" s="11" t="n">
        <f aca="false">SUM(E7:E13)</f>
        <v>41800</v>
      </c>
      <c r="F14" s="3" t="s">
        <v>239</v>
      </c>
    </row>
    <row r="16" customFormat="false" ht="15" hidden="false" customHeight="true" outlineLevel="0" collapsed="false">
      <c r="A16" s="33" t="s">
        <v>153</v>
      </c>
      <c r="B16" s="33"/>
      <c r="C16" s="33"/>
      <c r="D16" s="33"/>
      <c r="E16" s="33"/>
      <c r="F16" s="33"/>
    </row>
    <row r="17" customFormat="false" ht="15" hidden="false" customHeight="true" outlineLevel="0" collapsed="false">
      <c r="A17" s="10" t="s">
        <v>125</v>
      </c>
      <c r="B17" s="10" t="s">
        <v>154</v>
      </c>
      <c r="C17" s="10" t="s">
        <v>155</v>
      </c>
      <c r="D17" s="10" t="s">
        <v>129</v>
      </c>
      <c r="E17" s="10" t="s">
        <v>130</v>
      </c>
      <c r="G17" s="10" t="s">
        <v>131</v>
      </c>
    </row>
    <row r="18" customFormat="false" ht="15" hidden="false" customHeight="true" outlineLevel="0" collapsed="false">
      <c r="A18" s="3" t="s">
        <v>272</v>
      </c>
      <c r="B18" s="8" t="n">
        <f aca="false">Wyjaśnienia!$B$54</f>
        <v>90000</v>
      </c>
      <c r="C18" s="26" t="n">
        <v>1</v>
      </c>
      <c r="D18" s="8" t="n">
        <f aca="false">B18*C18</f>
        <v>90000</v>
      </c>
      <c r="E18" s="3" t="s">
        <v>273</v>
      </c>
      <c r="G18" s="26" t="n">
        <v>2028</v>
      </c>
    </row>
    <row r="19" customFormat="false" ht="15" hidden="false" customHeight="true" outlineLevel="0" collapsed="false">
      <c r="A19" s="3" t="s">
        <v>274</v>
      </c>
      <c r="B19" s="8" t="n">
        <f aca="false">Wyjaśnienia!$B$55</f>
        <v>12000</v>
      </c>
      <c r="C19" s="26" t="n">
        <v>1</v>
      </c>
      <c r="D19" s="8" t="n">
        <f aca="false">B19*C19</f>
        <v>12000</v>
      </c>
      <c r="E19" s="3" t="s">
        <v>170</v>
      </c>
      <c r="G19" s="26" t="n">
        <v>2028</v>
      </c>
    </row>
    <row r="20" customFormat="false" ht="15" hidden="false" customHeight="true" outlineLevel="0" collapsed="false">
      <c r="A20" s="3" t="s">
        <v>245</v>
      </c>
      <c r="B20" s="8" t="n">
        <f aca="false">Wyjaśnienia!$B$56</f>
        <v>1200</v>
      </c>
      <c r="C20" s="26" t="n">
        <v>1</v>
      </c>
      <c r="D20" s="8" t="n">
        <f aca="false">B20*C20</f>
        <v>1200</v>
      </c>
      <c r="E20" s="3" t="s">
        <v>246</v>
      </c>
      <c r="G20" s="26" t="n">
        <v>2028</v>
      </c>
    </row>
    <row r="21" customFormat="false" ht="15" hidden="false" customHeight="true" outlineLevel="0" collapsed="false">
      <c r="A21" s="3" t="s">
        <v>275</v>
      </c>
      <c r="B21" s="18" t="n">
        <v>0</v>
      </c>
      <c r="C21" s="26" t="n">
        <v>1</v>
      </c>
      <c r="D21" s="8" t="n">
        <f aca="false">B21*C21</f>
        <v>0</v>
      </c>
      <c r="E21" s="3" t="s">
        <v>276</v>
      </c>
      <c r="G21" s="26" t="n">
        <v>2028</v>
      </c>
    </row>
    <row r="22" customFormat="false" ht="15" hidden="false" customHeight="true" outlineLevel="0" collapsed="false">
      <c r="A22" s="3" t="s">
        <v>165</v>
      </c>
      <c r="B22" s="18" t="n">
        <v>0</v>
      </c>
      <c r="C22" s="26" t="n">
        <v>1</v>
      </c>
      <c r="D22" s="8" t="n">
        <f aca="false">B22*C22</f>
        <v>0</v>
      </c>
      <c r="E22" s="3" t="s">
        <v>277</v>
      </c>
      <c r="G22" s="26" t="n">
        <v>2027</v>
      </c>
    </row>
    <row r="23" customFormat="false" ht="15" hidden="false" customHeight="true" outlineLevel="0" collapsed="false">
      <c r="A23" s="3" t="s">
        <v>278</v>
      </c>
      <c r="B23" s="8" t="n">
        <f aca="false">Wyjaśnienia!$B$61*2</f>
        <v>800</v>
      </c>
      <c r="C23" s="26" t="n">
        <f aca="false">Wyjaśnienia!$B$60</f>
        <v>10</v>
      </c>
      <c r="D23" s="8" t="n">
        <f aca="false">B23*C23</f>
        <v>8000</v>
      </c>
      <c r="E23" s="3" t="s">
        <v>279</v>
      </c>
      <c r="G23" s="26" t="n">
        <v>2028</v>
      </c>
    </row>
    <row r="24" customFormat="false" ht="15" hidden="false" customHeight="true" outlineLevel="0" collapsed="false">
      <c r="A24" s="3" t="s">
        <v>95</v>
      </c>
      <c r="B24" s="8" t="n">
        <f aca="false">Wyjaśnienia!$B$62</f>
        <v>3000</v>
      </c>
      <c r="C24" s="26" t="n">
        <v>1</v>
      </c>
      <c r="D24" s="8" t="n">
        <f aca="false">B24*C24</f>
        <v>3000</v>
      </c>
      <c r="E24" s="3" t="s">
        <v>280</v>
      </c>
      <c r="G24" s="26" t="n">
        <v>2028</v>
      </c>
    </row>
    <row r="25" customFormat="false" ht="15" hidden="false" customHeight="true" outlineLevel="0" collapsed="false">
      <c r="A25" s="3" t="s">
        <v>281</v>
      </c>
      <c r="B25" s="18" t="n">
        <v>0</v>
      </c>
      <c r="C25" s="26" t="n">
        <v>1</v>
      </c>
      <c r="D25" s="8" t="n">
        <f aca="false">B25*C25</f>
        <v>0</v>
      </c>
      <c r="E25" s="3" t="s">
        <v>282</v>
      </c>
      <c r="G25" s="26" t="n">
        <v>2028</v>
      </c>
    </row>
    <row r="26" customFormat="false" ht="15" hidden="false" customHeight="true" outlineLevel="0" collapsed="false">
      <c r="A26" s="3" t="s">
        <v>283</v>
      </c>
      <c r="B26" s="18" t="n">
        <v>0</v>
      </c>
      <c r="C26" s="26" t="n">
        <v>1</v>
      </c>
      <c r="D26" s="8" t="n">
        <f aca="false">B26*C26</f>
        <v>0</v>
      </c>
      <c r="E26" s="3" t="s">
        <v>284</v>
      </c>
      <c r="G26" s="26" t="n">
        <v>2027</v>
      </c>
    </row>
    <row r="27" customFormat="false" ht="15" hidden="false" customHeight="true" outlineLevel="0" collapsed="false">
      <c r="A27" s="3" t="s">
        <v>285</v>
      </c>
      <c r="B27" s="18" t="n">
        <v>0</v>
      </c>
      <c r="C27" s="26" t="n">
        <v>1</v>
      </c>
      <c r="D27" s="8" t="n">
        <f aca="false">B27*C27</f>
        <v>0</v>
      </c>
      <c r="E27" s="3" t="s">
        <v>286</v>
      </c>
      <c r="G27" s="26" t="n">
        <v>2028</v>
      </c>
    </row>
    <row r="28" customFormat="false" ht="15" hidden="false" customHeight="true" outlineLevel="0" collapsed="false">
      <c r="A28" s="3" t="s">
        <v>287</v>
      </c>
      <c r="B28" s="18" t="n">
        <v>0</v>
      </c>
      <c r="C28" s="26" t="n">
        <v>1</v>
      </c>
      <c r="D28" s="8" t="n">
        <f aca="false">B28*C28</f>
        <v>0</v>
      </c>
      <c r="E28" s="3" t="s">
        <v>288</v>
      </c>
      <c r="G28" s="26" t="n">
        <v>2028</v>
      </c>
    </row>
    <row r="29" customFormat="false" ht="15" hidden="false" customHeight="true" outlineLevel="0" collapsed="false">
      <c r="A29" s="10" t="s">
        <v>175</v>
      </c>
      <c r="D29" s="3" t="n">
        <f aca="false">SUM(D18:D28)</f>
        <v>114200</v>
      </c>
    </row>
    <row r="30" customFormat="false" ht="15" hidden="false" customHeight="true" outlineLevel="0" collapsed="false">
      <c r="A30" s="29"/>
      <c r="B30" s="29"/>
      <c r="C30" s="29"/>
      <c r="D30" s="29"/>
      <c r="E30" s="29"/>
      <c r="F30" s="29"/>
    </row>
    <row r="31" customFormat="false" ht="15" hidden="false" customHeight="true" outlineLevel="0" collapsed="false">
      <c r="A31" s="10" t="s">
        <v>176</v>
      </c>
    </row>
    <row r="32" customFormat="false" ht="15" hidden="false" customHeight="true" outlineLevel="0" collapsed="false">
      <c r="A32" s="3" t="s">
        <v>177</v>
      </c>
      <c r="D32" s="8" t="n">
        <f aca="false">Wyjaśnienia!$B$54+Wyjaśnienia!$B$55</f>
        <v>102000</v>
      </c>
    </row>
    <row r="33" customFormat="false" ht="15" hidden="false" customHeight="true" outlineLevel="0" collapsed="false">
      <c r="A33" s="3" t="s">
        <v>178</v>
      </c>
      <c r="D33" s="8" t="n">
        <f aca="false">E14</f>
        <v>41800</v>
      </c>
    </row>
    <row r="34" customFormat="false" ht="15" hidden="false" customHeight="true" outlineLevel="0" collapsed="false">
      <c r="A34" s="3" t="s">
        <v>257</v>
      </c>
      <c r="D34" s="8" t="n">
        <f aca="false">D29-D32</f>
        <v>12200</v>
      </c>
    </row>
    <row r="35" customFormat="false" ht="15" hidden="false" customHeight="true" outlineLevel="0" collapsed="false">
      <c r="A35" s="3" t="s">
        <v>180</v>
      </c>
      <c r="D35" s="8" t="n">
        <f aca="false">(D33+D34)*Wyjaśnienia!$B$63</f>
        <v>6480</v>
      </c>
    </row>
    <row r="36" customFormat="false" ht="15" hidden="false" customHeight="true" outlineLevel="0" collapsed="false">
      <c r="A36" s="10" t="s">
        <v>181</v>
      </c>
      <c r="D36" s="11" t="n">
        <f aca="false">SUM(D32:D35)</f>
        <v>162480</v>
      </c>
    </row>
    <row r="37" customFormat="false" ht="15" hidden="false" customHeight="true" outlineLevel="0" collapsed="false">
      <c r="A37" s="3" t="s">
        <v>182</v>
      </c>
      <c r="D37" s="8" t="n">
        <f aca="false">D36*Wyjaśnienia!$B$33</f>
        <v>37370.4</v>
      </c>
    </row>
    <row r="38" customFormat="false" ht="15" hidden="false" customHeight="true" outlineLevel="0" collapsed="false">
      <c r="A38" s="10" t="s">
        <v>183</v>
      </c>
      <c r="D38" s="11" t="n">
        <f aca="false">D36+D37</f>
        <v>199850.4</v>
      </c>
    </row>
    <row r="40" customFormat="false" ht="15" hidden="false" customHeight="true" outlineLevel="0" collapsed="false">
      <c r="A40" s="10" t="s">
        <v>289</v>
      </c>
    </row>
    <row r="41" customFormat="false" ht="15" hidden="false" customHeight="true" outlineLevel="0" collapsed="false">
      <c r="A41" s="3" t="s">
        <v>290</v>
      </c>
    </row>
    <row r="42" customFormat="false" ht="15" hidden="false" customHeight="true" outlineLevel="0" collapsed="false">
      <c r="A42" s="10" t="s">
        <v>125</v>
      </c>
      <c r="B42" s="10" t="s">
        <v>154</v>
      </c>
      <c r="C42" s="10" t="s">
        <v>155</v>
      </c>
      <c r="D42" s="10" t="s">
        <v>129</v>
      </c>
      <c r="E42" s="10" t="s">
        <v>130</v>
      </c>
      <c r="G42" s="10" t="s">
        <v>131</v>
      </c>
    </row>
    <row r="43" customFormat="false" ht="15" hidden="false" customHeight="true" outlineLevel="0" collapsed="false">
      <c r="A43" s="3" t="s">
        <v>291</v>
      </c>
      <c r="B43" s="8" t="n">
        <v>0</v>
      </c>
      <c r="C43" s="26" t="n">
        <v>1</v>
      </c>
      <c r="D43" s="8" t="n">
        <f aca="false">B43*C43</f>
        <v>0</v>
      </c>
      <c r="E43" s="3" t="s">
        <v>292</v>
      </c>
    </row>
    <row r="44" customFormat="false" ht="15" hidden="false" customHeight="true" outlineLevel="0" collapsed="false">
      <c r="A44" s="3" t="s">
        <v>293</v>
      </c>
      <c r="B44" s="8" t="n">
        <f aca="false">Wyjaśnienia!$B$16</f>
        <v>220</v>
      </c>
      <c r="C44" s="26" t="n">
        <v>20</v>
      </c>
      <c r="D44" s="8" t="n">
        <f aca="false">B44*C44</f>
        <v>4400</v>
      </c>
      <c r="E44" s="3" t="s">
        <v>294</v>
      </c>
    </row>
  </sheetData>
  <mergeCells count="6">
    <mergeCell ref="A1:F1"/>
    <mergeCell ref="A2:F2"/>
    <mergeCell ref="A3:F3"/>
    <mergeCell ref="A5:F5"/>
    <mergeCell ref="A16:F16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5" t="s">
        <v>12</v>
      </c>
      <c r="B1" s="35"/>
      <c r="C1" s="35"/>
      <c r="D1" s="35"/>
      <c r="E1" s="35"/>
      <c r="F1" s="35"/>
    </row>
    <row r="2" customFormat="false" ht="15" hidden="false" customHeight="true" outlineLevel="0" collapsed="false">
      <c r="A2" s="36" t="s">
        <v>295</v>
      </c>
      <c r="B2" s="36"/>
      <c r="C2" s="36"/>
      <c r="D2" s="36"/>
      <c r="E2" s="36"/>
      <c r="F2" s="36"/>
    </row>
    <row r="3" customFormat="false" ht="15" hidden="false" customHeight="true" outlineLevel="0" collapsed="false">
      <c r="A3" s="36" t="s">
        <v>296</v>
      </c>
      <c r="B3" s="36"/>
      <c r="C3" s="36"/>
      <c r="D3" s="36"/>
      <c r="E3" s="36"/>
      <c r="F3" s="36"/>
    </row>
    <row r="5" customFormat="false" ht="15" hidden="false" customHeight="true" outlineLevel="0" collapsed="false">
      <c r="A5" s="37" t="s">
        <v>297</v>
      </c>
      <c r="B5" s="37"/>
      <c r="C5" s="37"/>
      <c r="D5" s="37"/>
      <c r="E5" s="37"/>
      <c r="F5" s="37"/>
    </row>
    <row r="6" customFormat="false" ht="15" hidden="false" customHeight="true" outlineLevel="0" collapsed="false">
      <c r="A6" s="38" t="s">
        <v>125</v>
      </c>
      <c r="B6" s="39" t="s">
        <v>298</v>
      </c>
      <c r="F6" s="38" t="s">
        <v>130</v>
      </c>
    </row>
    <row r="7" customFormat="false" ht="54.75" hidden="false" customHeight="true" outlineLevel="0" collapsed="false">
      <c r="A7" s="31" t="s">
        <v>299</v>
      </c>
      <c r="B7" s="40" t="n">
        <f aca="false">Wyjaśnienia!$B$17</f>
        <v>150</v>
      </c>
      <c r="F7" s="31" t="s">
        <v>300</v>
      </c>
    </row>
    <row r="8" customFormat="false" ht="15" hidden="false" customHeight="true" outlineLevel="0" collapsed="false">
      <c r="A8" s="31" t="s">
        <v>301</v>
      </c>
      <c r="B8" s="40" t="n">
        <f aca="false">Wyjaśnienia!$B$46</f>
        <v>2</v>
      </c>
      <c r="F8" s="31" t="s">
        <v>302</v>
      </c>
    </row>
    <row r="9" customFormat="false" ht="15" hidden="false" customHeight="true" outlineLevel="0" collapsed="false">
      <c r="A9" s="38" t="s">
        <v>303</v>
      </c>
      <c r="B9" s="41" t="n">
        <f aca="false">B7*B8</f>
        <v>300</v>
      </c>
      <c r="F9" s="31" t="s">
        <v>304</v>
      </c>
    </row>
    <row r="10" customFormat="false" ht="54.75" hidden="false" customHeight="true" outlineLevel="0" collapsed="false">
      <c r="A10" s="31" t="s">
        <v>305</v>
      </c>
      <c r="B10" s="40" t="n">
        <f aca="false">Wyjaśnienia!$B$66</f>
        <v>150</v>
      </c>
      <c r="F10" s="31" t="s">
        <v>306</v>
      </c>
    </row>
    <row r="11" customFormat="false" ht="15" hidden="false" customHeight="true" outlineLevel="0" collapsed="false">
      <c r="A11" s="31" t="s">
        <v>307</v>
      </c>
      <c r="B11" s="40" t="n">
        <f aca="false">Wyjaśnienia!$B$75</f>
        <v>2</v>
      </c>
      <c r="F11" s="31" t="s">
        <v>308</v>
      </c>
    </row>
    <row r="12" customFormat="false" ht="27.75" hidden="false" customHeight="true" outlineLevel="0" collapsed="false">
      <c r="A12" s="38" t="s">
        <v>309</v>
      </c>
      <c r="B12" s="41" t="n">
        <f aca="false">B10*B11</f>
        <v>300</v>
      </c>
      <c r="F12" s="31" t="s">
        <v>310</v>
      </c>
    </row>
    <row r="14" customFormat="false" ht="15" hidden="false" customHeight="true" outlineLevel="0" collapsed="false">
      <c r="A14" s="37" t="s">
        <v>311</v>
      </c>
      <c r="B14" s="37"/>
      <c r="C14" s="37"/>
      <c r="D14" s="37"/>
      <c r="E14" s="37"/>
      <c r="F14" s="37"/>
    </row>
    <row r="15" customFormat="false" ht="15" hidden="false" customHeight="true" outlineLevel="0" collapsed="false">
      <c r="A15" s="38" t="s">
        <v>125</v>
      </c>
      <c r="B15" s="39" t="s">
        <v>312</v>
      </c>
      <c r="C15" s="39" t="s">
        <v>155</v>
      </c>
      <c r="D15" s="39" t="s">
        <v>129</v>
      </c>
      <c r="F15" s="38" t="s">
        <v>130</v>
      </c>
      <c r="G15" s="38" t="s">
        <v>131</v>
      </c>
    </row>
    <row r="16" customFormat="false" ht="15" hidden="false" customHeight="true" outlineLevel="0" collapsed="false">
      <c r="A16" s="31" t="s">
        <v>313</v>
      </c>
      <c r="B16" s="42" t="n">
        <f aca="false">Wyjaśnienia!$B$48</f>
        <v>2500</v>
      </c>
      <c r="C16" s="40" t="n">
        <f aca="false">Wyjaśnienia!$B$49</f>
        <v>15</v>
      </c>
      <c r="D16" s="42" t="n">
        <f aca="false">B16*C16</f>
        <v>37500</v>
      </c>
      <c r="F16" s="31" t="s">
        <v>314</v>
      </c>
      <c r="G16" s="26" t="n">
        <v>2027</v>
      </c>
    </row>
    <row r="17" customFormat="false" ht="15" hidden="false" customHeight="true" outlineLevel="0" collapsed="false">
      <c r="A17" s="31" t="s">
        <v>315</v>
      </c>
      <c r="B17" s="42" t="n">
        <f aca="false">Wyjaśnienia!$B$47</f>
        <v>500</v>
      </c>
      <c r="C17" s="40" t="n">
        <f aca="false">ROUNDUP(B9/100,0)</f>
        <v>3</v>
      </c>
      <c r="D17" s="42" t="n">
        <f aca="false">B17*C17</f>
        <v>1500</v>
      </c>
      <c r="F17" s="31" t="s">
        <v>316</v>
      </c>
      <c r="G17" s="26" t="n">
        <v>2027</v>
      </c>
    </row>
    <row r="18" customFormat="false" ht="41.25" hidden="false" customHeight="true" outlineLevel="0" collapsed="false">
      <c r="A18" s="31" t="s">
        <v>317</v>
      </c>
      <c r="B18" s="42" t="n">
        <f aca="false">Wyjaśnienia!$B$76</f>
        <v>300</v>
      </c>
      <c r="C18" s="40" t="n">
        <f aca="false">B12</f>
        <v>300</v>
      </c>
      <c r="D18" s="42" t="n">
        <f aca="false">B18*C18</f>
        <v>90000</v>
      </c>
      <c r="F18" s="31" t="s">
        <v>318</v>
      </c>
      <c r="G18" s="26" t="n">
        <v>2028</v>
      </c>
    </row>
    <row r="19" customFormat="false" ht="15" hidden="false" customHeight="true" outlineLevel="0" collapsed="false">
      <c r="A19" s="38" t="s">
        <v>319</v>
      </c>
      <c r="D19" s="43" t="n">
        <f aca="false">SUM(D16:D18)</f>
        <v>129000</v>
      </c>
    </row>
    <row r="21" customFormat="false" ht="15" hidden="false" customHeight="true" outlineLevel="0" collapsed="false">
      <c r="A21" s="37" t="s">
        <v>153</v>
      </c>
      <c r="B21" s="37"/>
      <c r="C21" s="37"/>
      <c r="D21" s="37"/>
      <c r="E21" s="37"/>
      <c r="F21" s="37"/>
    </row>
    <row r="22" customFormat="false" ht="27.75" hidden="false" customHeight="true" outlineLevel="0" collapsed="false">
      <c r="A22" s="38" t="s">
        <v>125</v>
      </c>
      <c r="B22" s="39" t="s">
        <v>154</v>
      </c>
      <c r="C22" s="39" t="s">
        <v>155</v>
      </c>
      <c r="D22" s="39" t="s">
        <v>129</v>
      </c>
      <c r="F22" s="38" t="s">
        <v>130</v>
      </c>
      <c r="G22" s="38" t="s">
        <v>131</v>
      </c>
    </row>
    <row r="23" customFormat="false" ht="15" hidden="false" customHeight="true" outlineLevel="0" collapsed="false">
      <c r="A23" s="31" t="s">
        <v>320</v>
      </c>
      <c r="B23" s="42" t="n">
        <v>2000</v>
      </c>
      <c r="C23" s="40" t="n">
        <v>1</v>
      </c>
      <c r="D23" s="42" t="n">
        <f aca="false">B23*C23</f>
        <v>2000</v>
      </c>
      <c r="F23" s="31" t="s">
        <v>321</v>
      </c>
      <c r="G23" s="26" t="n">
        <v>2027</v>
      </c>
    </row>
    <row r="24" customFormat="false" ht="27.75" hidden="false" customHeight="true" outlineLevel="0" collapsed="false">
      <c r="A24" s="31" t="s">
        <v>322</v>
      </c>
      <c r="B24" s="42" t="n">
        <v>3000</v>
      </c>
      <c r="C24" s="40" t="n">
        <v>1</v>
      </c>
      <c r="D24" s="42" t="n">
        <f aca="false">B24*C24</f>
        <v>3000</v>
      </c>
      <c r="F24" s="31" t="s">
        <v>323</v>
      </c>
      <c r="G24" s="26" t="n">
        <v>2027</v>
      </c>
    </row>
    <row r="25" customFormat="false" ht="54.75" hidden="false" customHeight="true" outlineLevel="0" collapsed="false">
      <c r="A25" s="31" t="s">
        <v>324</v>
      </c>
      <c r="B25" s="42" t="n">
        <v>5000</v>
      </c>
      <c r="C25" s="40" t="n">
        <v>1</v>
      </c>
      <c r="D25" s="42" t="n">
        <f aca="false">B25*C25</f>
        <v>5000</v>
      </c>
      <c r="F25" s="31" t="s">
        <v>325</v>
      </c>
      <c r="G25" s="26" t="n">
        <v>2027</v>
      </c>
    </row>
    <row r="26" customFormat="false" ht="41.25" hidden="false" customHeight="true" outlineLevel="0" collapsed="false">
      <c r="A26" s="31" t="s">
        <v>326</v>
      </c>
      <c r="B26" s="42" t="n">
        <v>4000</v>
      </c>
      <c r="C26" s="40" t="n">
        <v>1</v>
      </c>
      <c r="D26" s="42" t="n">
        <f aca="false">B26*C26</f>
        <v>4000</v>
      </c>
      <c r="F26" s="31" t="s">
        <v>327</v>
      </c>
      <c r="G26" s="26" t="n">
        <v>2027</v>
      </c>
    </row>
    <row r="27" customFormat="false" ht="15" hidden="false" customHeight="true" outlineLevel="0" collapsed="false">
      <c r="A27" s="38" t="s">
        <v>175</v>
      </c>
      <c r="D27" s="43" t="n">
        <f aca="false">SUM(D23:D26)</f>
        <v>14000</v>
      </c>
    </row>
    <row r="29" customFormat="false" ht="15" hidden="false" customHeight="true" outlineLevel="0" collapsed="false">
      <c r="A29" s="37" t="s">
        <v>176</v>
      </c>
      <c r="B29" s="37"/>
      <c r="C29" s="37"/>
      <c r="D29" s="37"/>
      <c r="E29" s="37"/>
      <c r="F29" s="37"/>
    </row>
    <row r="30" customFormat="false" ht="15" hidden="false" customHeight="true" outlineLevel="0" collapsed="false">
      <c r="A30" s="31" t="s">
        <v>328</v>
      </c>
      <c r="D30" s="42" t="n">
        <f aca="false">D19</f>
        <v>129000</v>
      </c>
    </row>
    <row r="31" customFormat="false" ht="15" hidden="false" customHeight="true" outlineLevel="0" collapsed="false">
      <c r="A31" s="31" t="s">
        <v>179</v>
      </c>
      <c r="D31" s="42" t="n">
        <f aca="false">D27</f>
        <v>14000</v>
      </c>
    </row>
    <row r="32" customFormat="false" ht="15" hidden="false" customHeight="true" outlineLevel="0" collapsed="false">
      <c r="A32" s="31" t="s">
        <v>329</v>
      </c>
      <c r="D32" s="42" t="n">
        <f aca="false">(D30+D31)*Wyjaśnienia!$B$30</f>
        <v>17160</v>
      </c>
    </row>
    <row r="33" customFormat="false" ht="15" hidden="false" customHeight="true" outlineLevel="0" collapsed="false">
      <c r="A33" s="38" t="s">
        <v>181</v>
      </c>
      <c r="D33" s="43" t="n">
        <f aca="false">SUM(D30:D32)</f>
        <v>160160</v>
      </c>
    </row>
    <row r="34" customFormat="false" ht="15" hidden="false" customHeight="true" outlineLevel="0" collapsed="false">
      <c r="A34" s="31" t="s">
        <v>182</v>
      </c>
      <c r="D34" s="42" t="n">
        <f aca="false">D33*Wyjaśnienia!$B$33</f>
        <v>36836.8</v>
      </c>
    </row>
    <row r="35" customFormat="false" ht="15" hidden="false" customHeight="true" outlineLevel="0" collapsed="false">
      <c r="A35" s="38" t="s">
        <v>183</v>
      </c>
      <c r="D35" s="43" t="n">
        <f aca="false">D33+D34</f>
        <v>196996.8</v>
      </c>
    </row>
    <row r="37" customFormat="false" ht="15" hidden="false" customHeight="true" outlineLevel="0" collapsed="false">
      <c r="A37" s="37" t="s">
        <v>330</v>
      </c>
      <c r="B37" s="37"/>
      <c r="C37" s="37"/>
      <c r="D37" s="37"/>
      <c r="E37" s="37"/>
      <c r="F37" s="37"/>
    </row>
    <row r="38" customFormat="false" ht="41.25" hidden="false" customHeight="true" outlineLevel="0" collapsed="false">
      <c r="A38" s="36" t="s">
        <v>331</v>
      </c>
      <c r="B38" s="36"/>
      <c r="C38" s="36"/>
      <c r="D38" s="36"/>
      <c r="E38" s="36"/>
      <c r="F38" s="36"/>
    </row>
    <row r="39" customFormat="false" ht="27.75" hidden="false" customHeight="true" outlineLevel="0" collapsed="false">
      <c r="A39" s="39" t="s">
        <v>332</v>
      </c>
      <c r="B39" s="39" t="s">
        <v>333</v>
      </c>
      <c r="C39" s="39" t="s">
        <v>334</v>
      </c>
      <c r="D39" s="39" t="s">
        <v>335</v>
      </c>
      <c r="E39" s="39" t="s">
        <v>336</v>
      </c>
    </row>
    <row r="40" customFormat="false" ht="15" hidden="false" customHeight="true" outlineLevel="0" collapsed="false">
      <c r="A40" s="40" t="n">
        <v>150</v>
      </c>
      <c r="B40" s="40" t="n">
        <f aca="false">A40*Wyjaśnienia!$B$46</f>
        <v>300</v>
      </c>
      <c r="C40" s="40" t="n">
        <f aca="false">ROUNDUP(B40/100,0)</f>
        <v>3</v>
      </c>
      <c r="D40" s="42" t="n">
        <f aca="false">C40*Wyjaśnienia!$B$47</f>
        <v>1500</v>
      </c>
      <c r="E40" s="40" t="n">
        <f aca="false">ROUNDUP(B40*Wyjaśnienia!$B$50/60,0)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A41*Wyjaśnienia!$B$46</f>
        <v>2000</v>
      </c>
      <c r="C41" s="40" t="n">
        <f aca="false">ROUNDUP(B41/100,0)</f>
        <v>20</v>
      </c>
      <c r="D41" s="42" t="n">
        <f aca="false">C41*Wyjaśnienia!$B$47</f>
        <v>10000</v>
      </c>
      <c r="E41" s="40" t="n">
        <f aca="false">ROUNDUP(B41*Wyjaśnienia!$B$50/60,0)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A42*Wyjaśnienia!$B$46</f>
        <v>20000</v>
      </c>
      <c r="C42" s="40" t="n">
        <f aca="false">ROUNDUP(B42/100,0)</f>
        <v>200</v>
      </c>
      <c r="D42" s="42" t="n">
        <f aca="false">C42*Wyjaśnienia!$B$47</f>
        <v>100000</v>
      </c>
      <c r="E42" s="40" t="n">
        <f aca="false">ROUNDUP(B42*Wyjaśnienia!$B$50/60,0)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A43*Wyjaśnienia!$B$46</f>
        <v>200000</v>
      </c>
      <c r="C43" s="40" t="n">
        <f aca="false">ROUNDUP(B43/100,0)</f>
        <v>2000</v>
      </c>
      <c r="D43" s="42" t="n">
        <f aca="false">C43*Wyjaśnienia!$B$47</f>
        <v>1000000</v>
      </c>
      <c r="E43" s="40" t="n">
        <f aca="false">ROUNDUP(B43*Wyjaśnienia!$B$50/60,0)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A44*Wyjaśnienia!$B$46</f>
        <v>2000000</v>
      </c>
      <c r="C44" s="40" t="n">
        <f aca="false">ROUNDUP(B44/100,0)</f>
        <v>20000</v>
      </c>
      <c r="D44" s="42" t="n">
        <f aca="false">C44*Wyjaśnienia!$B$47</f>
        <v>10000000</v>
      </c>
      <c r="E44" s="40" t="n">
        <f aca="false">ROUNDUP(B44*Wyjaśnienia!$B$50/60,0)</f>
        <v>1000000</v>
      </c>
    </row>
    <row r="46" customFormat="false" ht="27.75" hidden="false" customHeight="true" outlineLevel="0" collapsed="false">
      <c r="A46" s="39" t="s">
        <v>337</v>
      </c>
      <c r="B46" s="39" t="s">
        <v>338</v>
      </c>
      <c r="C46" s="39" t="s">
        <v>339</v>
      </c>
      <c r="D46" s="39" t="s">
        <v>340</v>
      </c>
      <c r="E46" s="39" t="s">
        <v>341</v>
      </c>
    </row>
    <row r="47" customFormat="false" ht="15" hidden="false" customHeight="true" outlineLevel="0" collapsed="false">
      <c r="A47" s="40" t="n">
        <v>30</v>
      </c>
      <c r="B47" s="40" t="n">
        <f aca="false">A47*Wyjaśnienia!$B$75</f>
        <v>60</v>
      </c>
      <c r="C47" s="42" t="n">
        <f aca="false">B47*Wyjaśnienia!$B$76</f>
        <v>18000</v>
      </c>
      <c r="D47" s="40" t="n">
        <f aca="false">B47*2</f>
        <v>120</v>
      </c>
      <c r="E47" s="40" t="n">
        <f aca="false">ROUNDUP(B47/Wyjaśnienia!$B$77,0)</f>
        <v>6</v>
      </c>
    </row>
    <row r="48" customFormat="false" ht="15" hidden="false" customHeight="true" outlineLevel="0" collapsed="false">
      <c r="A48" s="40" t="n">
        <v>150</v>
      </c>
      <c r="B48" s="40" t="n">
        <f aca="false">A48*Wyjaśnienia!$B$75</f>
        <v>300</v>
      </c>
      <c r="C48" s="42" t="n">
        <f aca="false">B48*Wyjaśnienia!$B$76</f>
        <v>90000</v>
      </c>
      <c r="D48" s="40" t="n">
        <f aca="false">B48*2</f>
        <v>600</v>
      </c>
      <c r="E48" s="40" t="n">
        <f aca="false">ROUNDUP(B48/Wyjaśnienia!$B$77,0)</f>
        <v>30</v>
      </c>
    </row>
    <row r="49" customFormat="false" ht="15" hidden="false" customHeight="true" outlineLevel="0" collapsed="false">
      <c r="A49" s="40" t="n">
        <v>500</v>
      </c>
      <c r="B49" s="40" t="n">
        <f aca="false">A49*Wyjaśnienia!$B$75</f>
        <v>1000</v>
      </c>
      <c r="C49" s="42" t="n">
        <f aca="false">B49*Wyjaśnienia!$B$76</f>
        <v>300000</v>
      </c>
      <c r="D49" s="40" t="n">
        <f aca="false">B49*2</f>
        <v>2000</v>
      </c>
      <c r="E49" s="40" t="n">
        <f aca="false">ROUNDUP(B49/Wyjaśnienia!$B$77,0)</f>
        <v>100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A50*Wyjaśnienia!$B$75</f>
        <v>4000</v>
      </c>
      <c r="C50" s="42" t="n">
        <f aca="false">B50*Wyjaśnienia!$B$76</f>
        <v>1200000</v>
      </c>
      <c r="D50" s="40" t="n">
        <f aca="false">B50*2</f>
        <v>8000</v>
      </c>
      <c r="E50" s="40" t="n">
        <f aca="false">ROUNDUP(B50/Wyjaśnienia!$B$77,0)</f>
        <v>400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A51*Wyjaśnienia!$B$75</f>
        <v>20000</v>
      </c>
      <c r="C51" s="42" t="n">
        <f aca="false">B51*Wyjaśnienia!$B$76</f>
        <v>6000000</v>
      </c>
      <c r="D51" s="40" t="n">
        <f aca="false">B51*2</f>
        <v>40000</v>
      </c>
      <c r="E51" s="40" t="n">
        <f aca="false">ROUNDUP(B51/Wyjaśnienia!$B$77,0)</f>
        <v>2000</v>
      </c>
    </row>
    <row r="53" customFormat="false" ht="27.75" hidden="false" customHeight="true" outlineLevel="0" collapsed="false">
      <c r="A53" s="36" t="s">
        <v>342</v>
      </c>
      <c r="B53" s="36"/>
      <c r="C53" s="36"/>
      <c r="D53" s="36"/>
      <c r="E53" s="36"/>
      <c r="F53" s="36"/>
    </row>
    <row r="55" customFormat="false" ht="27.75" hidden="false" customHeight="true" outlineLevel="0" collapsed="false">
      <c r="A55" s="17" t="s">
        <v>343</v>
      </c>
    </row>
    <row r="56" customFormat="false" ht="15" hidden="false" customHeight="true" outlineLevel="0" collapsed="false">
      <c r="A56" s="3" t="s">
        <v>344</v>
      </c>
    </row>
    <row r="57" customFormat="false" ht="15" hidden="false" customHeight="true" outlineLevel="0" collapsed="false">
      <c r="A57" s="38" t="s">
        <v>125</v>
      </c>
      <c r="B57" s="38" t="s">
        <v>312</v>
      </c>
      <c r="C57" s="38" t="s">
        <v>155</v>
      </c>
      <c r="D57" s="38" t="s">
        <v>129</v>
      </c>
      <c r="F57" s="38" t="s">
        <v>130</v>
      </c>
      <c r="G57" s="38" t="s">
        <v>131</v>
      </c>
    </row>
    <row r="58" customFormat="false" ht="68.25" hidden="false" customHeight="true" outlineLevel="0" collapsed="false">
      <c r="A58" s="3" t="s">
        <v>345</v>
      </c>
      <c r="B58" s="42" t="n">
        <v>0</v>
      </c>
      <c r="C58" s="40" t="n">
        <f aca="false">Wyjaśnienia!$B$23*2</f>
        <v>300</v>
      </c>
      <c r="D58" s="42" t="n">
        <f aca="false">B58*C58</f>
        <v>0</v>
      </c>
      <c r="F58" s="31" t="s">
        <v>346</v>
      </c>
      <c r="G58" s="26" t="n">
        <v>2027</v>
      </c>
    </row>
    <row r="59" customFormat="false" ht="54.75" hidden="false" customHeight="true" outlineLevel="0" collapsed="false">
      <c r="A59" s="3" t="s">
        <v>347</v>
      </c>
      <c r="B59" s="42" t="n">
        <v>0</v>
      </c>
      <c r="C59" s="40" t="n">
        <f aca="false">Wyjaśnienia!$B$53*2</f>
        <v>300</v>
      </c>
      <c r="D59" s="42" t="n">
        <f aca="false">B59*C59</f>
        <v>0</v>
      </c>
      <c r="F59" s="31" t="s">
        <v>348</v>
      </c>
      <c r="G59" s="26" t="n">
        <v>2027</v>
      </c>
    </row>
    <row r="60" customFormat="false" ht="27.75" hidden="false" customHeight="true" outlineLevel="0" collapsed="false">
      <c r="A60" s="3" t="s">
        <v>349</v>
      </c>
      <c r="B60" s="42" t="n">
        <v>0</v>
      </c>
      <c r="C60" s="40" t="s">
        <v>350</v>
      </c>
      <c r="D60" s="42" t="n">
        <f aca="false">B60*C60</f>
        <v>0</v>
      </c>
      <c r="F60" s="31" t="s">
        <v>351</v>
      </c>
      <c r="G60" s="26" t="n">
        <v>2027</v>
      </c>
    </row>
    <row r="61" customFormat="false" ht="27.75" hidden="false" customHeight="true" outlineLevel="0" collapsed="false">
      <c r="A61" s="3" t="s">
        <v>352</v>
      </c>
      <c r="B61" s="42" t="n">
        <v>0</v>
      </c>
      <c r="C61" s="40" t="s">
        <v>350</v>
      </c>
      <c r="D61" s="42" t="n">
        <f aca="false">B61*C61</f>
        <v>0</v>
      </c>
      <c r="F61" s="31" t="s">
        <v>353</v>
      </c>
      <c r="G61" s="26" t="n">
        <v>2027</v>
      </c>
    </row>
    <row r="62" customFormat="false" ht="15" hidden="false" customHeight="true" outlineLevel="0" collapsed="false">
      <c r="A62" s="38" t="s">
        <v>354</v>
      </c>
      <c r="D62" s="43" t="n">
        <f aca="false">SUM(D58:D61)</f>
        <v>0</v>
      </c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16</v>
      </c>
      <c r="B1" s="33"/>
      <c r="C1" s="33"/>
      <c r="D1" s="33"/>
      <c r="E1" s="33"/>
      <c r="F1" s="33"/>
    </row>
    <row r="2" customFormat="false" ht="15" hidden="false" customHeight="true" outlineLevel="0" collapsed="false">
      <c r="A2" s="29" t="s">
        <v>355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356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3" t="s">
        <v>124</v>
      </c>
      <c r="B5" s="33"/>
      <c r="C5" s="33"/>
      <c r="D5" s="33"/>
      <c r="E5" s="33"/>
      <c r="F5" s="33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  <c r="G6" s="10" t="s">
        <v>131</v>
      </c>
    </row>
    <row r="7" customFormat="false" ht="15" hidden="false" customHeight="true" outlineLevel="0" collapsed="false">
      <c r="A7" s="3" t="s">
        <v>357</v>
      </c>
      <c r="B7" s="21" t="n">
        <v>0</v>
      </c>
      <c r="C7" s="21" t="n">
        <v>12</v>
      </c>
      <c r="D7" s="26" t="n">
        <f aca="false">B7+C7*Wyjaśnienia!$B$66/60</f>
        <v>30</v>
      </c>
      <c r="E7" s="8" t="n">
        <f aca="false">D7*Wyjaśnienia!$B$16</f>
        <v>6600</v>
      </c>
      <c r="F7" s="3" t="s">
        <v>358</v>
      </c>
      <c r="G7" s="26" t="n">
        <v>2027</v>
      </c>
    </row>
    <row r="8" customFormat="false" ht="15" hidden="false" customHeight="true" outlineLevel="0" collapsed="false">
      <c r="A8" s="3" t="s">
        <v>359</v>
      </c>
      <c r="B8" s="21" t="n">
        <v>25</v>
      </c>
      <c r="C8" s="21"/>
      <c r="D8" s="26" t="n">
        <f aca="false">B8+C8*Wyjaśnienia!$B$66/60</f>
        <v>25</v>
      </c>
      <c r="E8" s="8" t="n">
        <f aca="false">D8*Wyjaśnienia!$B$16</f>
        <v>5500</v>
      </c>
      <c r="F8" s="3" t="s">
        <v>360</v>
      </c>
      <c r="G8" s="26" t="n">
        <v>2027</v>
      </c>
    </row>
    <row r="9" customFormat="false" ht="15" hidden="false" customHeight="true" outlineLevel="0" collapsed="false">
      <c r="A9" s="3" t="s">
        <v>361</v>
      </c>
      <c r="B9" s="21" t="n">
        <v>60</v>
      </c>
      <c r="C9" s="21"/>
      <c r="D9" s="26" t="n">
        <f aca="false">B9+C9*Wyjaśnienia!$B$66/60</f>
        <v>60</v>
      </c>
      <c r="E9" s="8" t="n">
        <f aca="false">D9*Wyjaśnienia!$B$16</f>
        <v>13200</v>
      </c>
      <c r="F9" s="3" t="s">
        <v>362</v>
      </c>
      <c r="G9" s="26" t="n">
        <v>2028</v>
      </c>
    </row>
    <row r="10" customFormat="false" ht="15" hidden="false" customHeight="true" outlineLevel="0" collapsed="false">
      <c r="A10" s="3" t="s">
        <v>235</v>
      </c>
      <c r="B10" s="21" t="n">
        <v>20</v>
      </c>
      <c r="C10" s="21"/>
      <c r="D10" s="26" t="n">
        <f aca="false">B10+C10*Wyjaśnienia!$B$66/60</f>
        <v>20</v>
      </c>
      <c r="E10" s="8" t="n">
        <f aca="false">D10*Wyjaśnienia!$B$16</f>
        <v>4400</v>
      </c>
      <c r="F10" s="3" t="s">
        <v>263</v>
      </c>
      <c r="G10" s="26" t="n">
        <v>2028</v>
      </c>
    </row>
    <row r="11" customFormat="false" ht="15" hidden="false" customHeight="true" outlineLevel="0" collapsed="false">
      <c r="A11" s="3" t="s">
        <v>363</v>
      </c>
      <c r="B11" s="21" t="n">
        <v>40</v>
      </c>
      <c r="C11" s="21"/>
      <c r="D11" s="26" t="n">
        <f aca="false">B11+C11*Wyjaśnienia!$B$66/60</f>
        <v>40</v>
      </c>
      <c r="E11" s="8" t="n">
        <f aca="false">D11*Wyjaśnienia!$B$16</f>
        <v>8800</v>
      </c>
      <c r="F11" s="3" t="s">
        <v>364</v>
      </c>
      <c r="G11" s="26" t="n">
        <v>2028</v>
      </c>
    </row>
    <row r="12" customFormat="false" ht="15" hidden="false" customHeight="true" outlineLevel="0" collapsed="false">
      <c r="A12" s="3" t="s">
        <v>365</v>
      </c>
      <c r="B12" s="21" t="n">
        <v>40</v>
      </c>
      <c r="C12" s="21"/>
      <c r="D12" s="26" t="n">
        <f aca="false">B12+C12*Wyjaśnienia!$B$66/60</f>
        <v>40</v>
      </c>
      <c r="E12" s="8" t="n">
        <f aca="false">D12*Wyjaśnienia!$B$16</f>
        <v>8800</v>
      </c>
      <c r="F12" s="3" t="s">
        <v>366</v>
      </c>
      <c r="G12" s="26" t="n">
        <v>2028</v>
      </c>
    </row>
    <row r="13" customFormat="false" ht="15" hidden="false" customHeight="true" outlineLevel="0" collapsed="false">
      <c r="A13" s="3" t="s">
        <v>367</v>
      </c>
      <c r="B13" s="21" t="n">
        <v>25</v>
      </c>
      <c r="C13" s="21"/>
      <c r="D13" s="26" t="n">
        <f aca="false">B13+C13*Wyjaśnienia!$B$66/60</f>
        <v>25</v>
      </c>
      <c r="E13" s="8" t="n">
        <f aca="false">D13*Wyjaśnienia!$B$16</f>
        <v>5500</v>
      </c>
      <c r="F13" s="3" t="s">
        <v>368</v>
      </c>
      <c r="G13" s="26" t="n">
        <v>2027</v>
      </c>
    </row>
    <row r="14" customFormat="false" ht="15" hidden="false" customHeight="true" outlineLevel="0" collapsed="false">
      <c r="A14" s="3" t="s">
        <v>369</v>
      </c>
      <c r="B14" s="21" t="n">
        <v>50</v>
      </c>
      <c r="C14" s="21"/>
      <c r="D14" s="26" t="n">
        <f aca="false">B14+C14*Wyjaśnienia!$B$66/60</f>
        <v>50</v>
      </c>
      <c r="E14" s="8" t="n">
        <f aca="false">D14*Wyjaśnienia!$B$16</f>
        <v>11000</v>
      </c>
      <c r="F14" s="3" t="s">
        <v>370</v>
      </c>
      <c r="G14" s="26" t="n">
        <v>2027</v>
      </c>
    </row>
    <row r="15" customFormat="false" ht="15" hidden="false" customHeight="true" outlineLevel="0" collapsed="false">
      <c r="A15" s="10" t="s">
        <v>152</v>
      </c>
      <c r="B15" s="21"/>
      <c r="C15" s="21"/>
      <c r="D15" s="34" t="n">
        <f aca="false">SUM(D7:D14)</f>
        <v>290</v>
      </c>
      <c r="E15" s="11" t="n">
        <f aca="false">SUM(E7:E14)</f>
        <v>63800</v>
      </c>
      <c r="F15" s="3" t="s">
        <v>371</v>
      </c>
    </row>
    <row r="17" customFormat="false" ht="15" hidden="false" customHeight="true" outlineLevel="0" collapsed="false">
      <c r="A17" s="33" t="s">
        <v>153</v>
      </c>
      <c r="B17" s="33"/>
      <c r="C17" s="33"/>
      <c r="D17" s="33"/>
      <c r="E17" s="33"/>
      <c r="F17" s="33"/>
    </row>
    <row r="18" customFormat="false" ht="15" hidden="false" customHeight="true" outlineLevel="0" collapsed="false">
      <c r="A18" s="10" t="s">
        <v>125</v>
      </c>
      <c r="B18" s="10" t="s">
        <v>154</v>
      </c>
      <c r="C18" s="10" t="s">
        <v>155</v>
      </c>
      <c r="D18" s="10" t="s">
        <v>129</v>
      </c>
      <c r="E18" s="10" t="s">
        <v>130</v>
      </c>
      <c r="G18" s="10" t="s">
        <v>131</v>
      </c>
    </row>
    <row r="19" customFormat="false" ht="15" hidden="false" customHeight="true" outlineLevel="0" collapsed="false">
      <c r="A19" s="3" t="s">
        <v>372</v>
      </c>
      <c r="B19" s="8" t="n">
        <f aca="false">Wyjaśnienia!$B$67</f>
        <v>180000</v>
      </c>
      <c r="C19" s="26" t="n">
        <v>1</v>
      </c>
      <c r="D19" s="8" t="n">
        <f aca="false">B19*C19</f>
        <v>180000</v>
      </c>
      <c r="E19" s="3" t="s">
        <v>373</v>
      </c>
      <c r="G19" s="26" t="n">
        <v>2028</v>
      </c>
    </row>
    <row r="20" customFormat="false" ht="15" hidden="false" customHeight="true" outlineLevel="0" collapsed="false">
      <c r="A20" s="3" t="s">
        <v>274</v>
      </c>
      <c r="B20" s="8" t="n">
        <f aca="false">Wyjaśnienia!$B$68</f>
        <v>12000</v>
      </c>
      <c r="C20" s="26" t="n">
        <v>1</v>
      </c>
      <c r="D20" s="8" t="n">
        <f aca="false">B20*C20</f>
        <v>12000</v>
      </c>
      <c r="E20" s="3" t="s">
        <v>170</v>
      </c>
      <c r="G20" s="26" t="n">
        <v>2028</v>
      </c>
    </row>
    <row r="21" customFormat="false" ht="15" hidden="false" customHeight="true" outlineLevel="0" collapsed="false">
      <c r="A21" s="3" t="s">
        <v>245</v>
      </c>
      <c r="B21" s="8" t="n">
        <f aca="false">Wyjaśnienia!$B$69</f>
        <v>1200</v>
      </c>
      <c r="C21" s="26" t="n">
        <v>1</v>
      </c>
      <c r="D21" s="8" t="n">
        <f aca="false">B21*C21</f>
        <v>1200</v>
      </c>
      <c r="E21" s="3" t="s">
        <v>374</v>
      </c>
      <c r="G21" s="26" t="n">
        <v>2028</v>
      </c>
    </row>
    <row r="22" customFormat="false" ht="15" hidden="false" customHeight="true" outlineLevel="0" collapsed="false">
      <c r="A22" s="3" t="s">
        <v>375</v>
      </c>
      <c r="B22" s="8" t="n">
        <v>0</v>
      </c>
      <c r="C22" s="26" t="n">
        <v>1</v>
      </c>
      <c r="D22" s="8" t="n">
        <f aca="false">B22*C22</f>
        <v>0</v>
      </c>
      <c r="E22" s="3" t="s">
        <v>376</v>
      </c>
      <c r="G22" s="26" t="n">
        <v>2028</v>
      </c>
    </row>
    <row r="23" customFormat="false" ht="15" hidden="false" customHeight="true" outlineLevel="0" collapsed="false">
      <c r="A23" s="3" t="s">
        <v>165</v>
      </c>
      <c r="B23" s="8" t="n">
        <v>0</v>
      </c>
      <c r="C23" s="26" t="n">
        <v>1</v>
      </c>
      <c r="D23" s="8" t="n">
        <f aca="false">B23*C23</f>
        <v>0</v>
      </c>
      <c r="E23" s="3" t="s">
        <v>277</v>
      </c>
      <c r="G23" s="26" t="n">
        <v>2027</v>
      </c>
    </row>
    <row r="24" customFormat="false" ht="15" hidden="false" customHeight="true" outlineLevel="0" collapsed="false">
      <c r="A24" s="3" t="s">
        <v>377</v>
      </c>
      <c r="B24" s="8" t="n">
        <v>0</v>
      </c>
      <c r="C24" s="26" t="n">
        <v>1</v>
      </c>
      <c r="D24" s="8" t="n">
        <f aca="false">B24*C24</f>
        <v>0</v>
      </c>
      <c r="E24" s="3" t="s">
        <v>378</v>
      </c>
      <c r="G24" s="26" t="n">
        <v>2028</v>
      </c>
    </row>
    <row r="25" customFormat="false" ht="15" hidden="false" customHeight="true" outlineLevel="0" collapsed="false">
      <c r="A25" s="3" t="s">
        <v>379</v>
      </c>
      <c r="B25" s="8" t="n">
        <v>0</v>
      </c>
      <c r="C25" s="26" t="n">
        <v>1</v>
      </c>
      <c r="D25" s="8" t="n">
        <f aca="false">B25*C25</f>
        <v>0</v>
      </c>
      <c r="E25" s="3" t="s">
        <v>380</v>
      </c>
      <c r="G25" s="26" t="n">
        <v>2028</v>
      </c>
    </row>
    <row r="26" customFormat="false" ht="15" hidden="false" customHeight="true" outlineLevel="0" collapsed="false">
      <c r="A26" s="3" t="s">
        <v>285</v>
      </c>
      <c r="B26" s="8" t="n">
        <v>0</v>
      </c>
      <c r="C26" s="26" t="n">
        <v>1</v>
      </c>
      <c r="D26" s="8" t="n">
        <f aca="false">B26*C26</f>
        <v>0</v>
      </c>
      <c r="E26" s="3" t="s">
        <v>381</v>
      </c>
      <c r="G26" s="26" t="n">
        <v>2028</v>
      </c>
    </row>
    <row r="27" customFormat="false" ht="15" hidden="false" customHeight="true" outlineLevel="0" collapsed="false">
      <c r="A27" s="3" t="s">
        <v>382</v>
      </c>
      <c r="B27" s="8" t="n">
        <v>0</v>
      </c>
      <c r="C27" s="26" t="n">
        <v>1</v>
      </c>
      <c r="D27" s="8" t="n">
        <f aca="false">B27*C27</f>
        <v>0</v>
      </c>
      <c r="E27" s="3" t="s">
        <v>383</v>
      </c>
      <c r="G27" s="26" t="n">
        <v>2027</v>
      </c>
    </row>
    <row r="28" customFormat="false" ht="15" hidden="false" customHeight="true" outlineLevel="0" collapsed="false">
      <c r="A28" s="10" t="s">
        <v>175</v>
      </c>
      <c r="B28" s="8"/>
      <c r="C28" s="26"/>
      <c r="D28" s="11" t="n">
        <f aca="false">SUM(D19:D27)</f>
        <v>193200</v>
      </c>
    </row>
    <row r="29" customFormat="false" ht="15" hidden="false" customHeight="true" outlineLevel="0" collapsed="false"/>
    <row r="30" customFormat="false" ht="15" hidden="false" customHeight="true" outlineLevel="0" collapsed="false">
      <c r="A30" s="33" t="s">
        <v>176</v>
      </c>
      <c r="B30" s="33"/>
      <c r="C30" s="33"/>
      <c r="D30" s="33"/>
      <c r="E30" s="33"/>
      <c r="F30" s="33"/>
    </row>
    <row r="31" customFormat="false" ht="15" hidden="false" customHeight="true" outlineLevel="0" collapsed="false">
      <c r="A31" s="3" t="s">
        <v>177</v>
      </c>
      <c r="D31" s="8" t="n">
        <f aca="false">Wyjaśnienia!$B$67+Wyjaśnienia!$B$68</f>
        <v>192000</v>
      </c>
    </row>
    <row r="32" customFormat="false" ht="15" hidden="false" customHeight="true" outlineLevel="0" collapsed="false">
      <c r="A32" s="3" t="s">
        <v>178</v>
      </c>
      <c r="D32" s="8" t="n">
        <f aca="false">E15</f>
        <v>63800</v>
      </c>
    </row>
    <row r="33" customFormat="false" ht="15" hidden="false" customHeight="true" outlineLevel="0" collapsed="false">
      <c r="A33" s="3" t="s">
        <v>257</v>
      </c>
      <c r="D33" s="8" t="n">
        <f aca="false">D28-D31</f>
        <v>1200</v>
      </c>
    </row>
    <row r="34" customFormat="false" ht="15" hidden="false" customHeight="true" outlineLevel="0" collapsed="false">
      <c r="A34" s="3" t="s">
        <v>180</v>
      </c>
      <c r="D34" s="8" t="n">
        <f aca="false">(D32+D33)*Wyjaśnienia!$B$74</f>
        <v>7800</v>
      </c>
    </row>
    <row r="35" customFormat="false" ht="15" hidden="false" customHeight="true" outlineLevel="0" collapsed="false">
      <c r="A35" s="10" t="s">
        <v>181</v>
      </c>
      <c r="D35" s="11" t="n">
        <f aca="false">SUM(D31:D34)</f>
        <v>264800</v>
      </c>
    </row>
    <row r="36" customFormat="false" ht="15" hidden="false" customHeight="true" outlineLevel="0" collapsed="false">
      <c r="A36" s="3" t="s">
        <v>182</v>
      </c>
      <c r="D36" s="8" t="n">
        <f aca="false">D35*Wyjaśnienia!$B$33</f>
        <v>60904</v>
      </c>
    </row>
    <row r="37" customFormat="false" ht="15" hidden="false" customHeight="true" outlineLevel="0" collapsed="false">
      <c r="A37" s="10" t="s">
        <v>183</v>
      </c>
      <c r="D37" s="11" t="n">
        <f aca="false">D35+D36</f>
        <v>325704</v>
      </c>
    </row>
  </sheetData>
  <mergeCells count="6">
    <mergeCell ref="A1:F1"/>
    <mergeCell ref="A2:F2"/>
    <mergeCell ref="A3:F3"/>
    <mergeCell ref="A5:F5"/>
    <mergeCell ref="A17:F17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384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385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386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387</v>
      </c>
      <c r="G7" s="26" t="n">
        <v>2028</v>
      </c>
      <c r="H7" s="3"/>
    </row>
    <row r="8" customFormat="false" ht="15" hidden="false" customHeight="true" outlineLevel="0" collapsed="false">
      <c r="A8" s="6" t="s">
        <v>152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153</v>
      </c>
      <c r="B10" s="5"/>
      <c r="C10" s="5"/>
      <c r="D10" s="5"/>
      <c r="E10" s="5"/>
      <c r="F10" s="5"/>
      <c r="H10" s="3"/>
    </row>
    <row r="11" customFormat="false" ht="15" hidden="false" customHeight="true" outlineLevel="0" collapsed="false">
      <c r="A11" s="6" t="s">
        <v>125</v>
      </c>
      <c r="B11" s="7" t="s">
        <v>154</v>
      </c>
      <c r="C11" s="7" t="s">
        <v>155</v>
      </c>
      <c r="D11" s="7" t="s">
        <v>129</v>
      </c>
      <c r="E11" s="6" t="s">
        <v>130</v>
      </c>
      <c r="F11" s="3"/>
      <c r="G11" s="6" t="s">
        <v>131</v>
      </c>
      <c r="H11" s="3"/>
    </row>
    <row r="12" customFormat="false" ht="15" hidden="false" customHeight="true" outlineLevel="0" collapsed="false">
      <c r="A12" s="22" t="s">
        <v>388</v>
      </c>
      <c r="B12" s="28" t="n">
        <v>8000</v>
      </c>
      <c r="C12" s="23" t="n">
        <v>1</v>
      </c>
      <c r="D12" s="25" t="n">
        <f aca="false">B12*C12</f>
        <v>8000</v>
      </c>
      <c r="E12" s="15" t="s">
        <v>389</v>
      </c>
      <c r="F12" s="3"/>
      <c r="G12" s="26" t="n">
        <v>2028</v>
      </c>
      <c r="H12" s="3"/>
    </row>
    <row r="13" customFormat="false" ht="15" hidden="false" customHeight="true" outlineLevel="0" collapsed="false">
      <c r="A13" s="22" t="s">
        <v>390</v>
      </c>
      <c r="B13" s="28" t="n">
        <v>1500</v>
      </c>
      <c r="C13" s="23" t="n">
        <v>1</v>
      </c>
      <c r="D13" s="25" t="n">
        <f aca="false">B13*C13</f>
        <v>1500</v>
      </c>
      <c r="E13" s="15" t="s">
        <v>391</v>
      </c>
      <c r="F13" s="3"/>
      <c r="G13" s="26" t="n">
        <v>2028</v>
      </c>
      <c r="H13" s="3"/>
    </row>
    <row r="14" customFormat="false" ht="15" hidden="false" customHeight="true" outlineLevel="0" collapsed="false">
      <c r="A14" s="22" t="s">
        <v>392</v>
      </c>
      <c r="B14" s="28" t="n">
        <v>4000</v>
      </c>
      <c r="C14" s="23" t="n">
        <v>1</v>
      </c>
      <c r="D14" s="25" t="n">
        <f aca="false">B14*C14</f>
        <v>4000</v>
      </c>
      <c r="E14" s="15" t="s">
        <v>393</v>
      </c>
      <c r="F14" s="3"/>
      <c r="G14" s="26" t="n">
        <v>2028</v>
      </c>
      <c r="H14" s="3"/>
    </row>
    <row r="15" customFormat="false" ht="15" hidden="false" customHeight="true" outlineLevel="0" collapsed="false">
      <c r="A15" s="22" t="s">
        <v>394</v>
      </c>
      <c r="B15" s="28" t="n">
        <v>8000</v>
      </c>
      <c r="C15" s="23" t="n">
        <v>1</v>
      </c>
      <c r="D15" s="25" t="n">
        <f aca="false">B15*C15</f>
        <v>8000</v>
      </c>
      <c r="E15" s="15" t="s">
        <v>395</v>
      </c>
      <c r="F15" s="3"/>
      <c r="G15" s="26" t="n">
        <v>2028</v>
      </c>
      <c r="H15" s="3"/>
    </row>
    <row r="16" customFormat="false" ht="15" hidden="false" customHeight="true" outlineLevel="0" collapsed="false">
      <c r="A16" s="22" t="s">
        <v>396</v>
      </c>
      <c r="B16" s="28" t="n">
        <v>0</v>
      </c>
      <c r="C16" s="23" t="n">
        <v>1</v>
      </c>
      <c r="D16" s="25" t="n">
        <f aca="false">B16*C16</f>
        <v>0</v>
      </c>
      <c r="E16" s="15" t="s">
        <v>397</v>
      </c>
      <c r="G16" s="26" t="n">
        <v>2028</v>
      </c>
    </row>
    <row r="17" customFormat="false" ht="15" hidden="false" customHeight="true" outlineLevel="0" collapsed="false">
      <c r="A17" s="22" t="s">
        <v>398</v>
      </c>
      <c r="B17" s="28" t="n">
        <v>0</v>
      </c>
      <c r="C17" s="23" t="n">
        <v>1</v>
      </c>
      <c r="D17" s="25" t="n">
        <f aca="false">B17*C17</f>
        <v>0</v>
      </c>
      <c r="E17" s="15" t="s">
        <v>399</v>
      </c>
      <c r="G17" s="26" t="n">
        <v>2028</v>
      </c>
    </row>
    <row r="18" customFormat="false" ht="15" hidden="false" customHeight="true" outlineLevel="0" collapsed="false">
      <c r="A18" s="22" t="s">
        <v>400</v>
      </c>
      <c r="B18" s="28" t="n">
        <v>0</v>
      </c>
      <c r="C18" s="23" t="n">
        <v>1</v>
      </c>
      <c r="D18" s="25" t="n">
        <f aca="false">B18*C18</f>
        <v>0</v>
      </c>
      <c r="E18" s="15" t="s">
        <v>401</v>
      </c>
      <c r="G18" s="26" t="n">
        <v>2028</v>
      </c>
    </row>
    <row r="19" customFormat="false" ht="15" hidden="false" customHeight="true" outlineLevel="0" collapsed="false">
      <c r="A19" s="22" t="s">
        <v>402</v>
      </c>
      <c r="B19" s="28" t="n">
        <v>0</v>
      </c>
      <c r="C19" s="23" t="n">
        <v>1</v>
      </c>
      <c r="D19" s="25" t="n">
        <f aca="false">B19*C19</f>
        <v>0</v>
      </c>
      <c r="E19" s="15" t="s">
        <v>403</v>
      </c>
      <c r="G19" s="26" t="n">
        <v>2028</v>
      </c>
    </row>
    <row r="20" customFormat="false" ht="15" hidden="false" customHeight="true" outlineLevel="0" collapsed="false">
      <c r="A20" s="6" t="s">
        <v>175</v>
      </c>
      <c r="B20" s="3"/>
      <c r="C20" s="3"/>
      <c r="D20" s="9" t="n">
        <f aca="false">SUM(D12:D19)</f>
        <v>21500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176</v>
      </c>
      <c r="B22" s="5"/>
      <c r="C22" s="5"/>
      <c r="D22" s="5"/>
      <c r="E22" s="5"/>
      <c r="F22" s="5"/>
      <c r="H22" s="3"/>
    </row>
    <row r="23" customFormat="false" ht="15" hidden="false" customHeight="true" outlineLevel="0" collapsed="false">
      <c r="A23" s="22" t="s">
        <v>178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179</v>
      </c>
      <c r="B24" s="3"/>
      <c r="C24" s="3"/>
      <c r="D24" s="8" t="n">
        <f aca="false">D20</f>
        <v>21500</v>
      </c>
      <c r="E24" s="3"/>
      <c r="F24" s="3"/>
      <c r="H24" s="3"/>
    </row>
    <row r="25" customFormat="false" ht="15" hidden="false" customHeight="true" outlineLevel="0" collapsed="false">
      <c r="A25" s="22" t="s">
        <v>404</v>
      </c>
      <c r="B25" s="3"/>
      <c r="C25" s="3"/>
      <c r="D25" s="8" t="n">
        <f aca="false">(D23+D24)*Wyjaśnienia!$B$30</f>
        <v>3768</v>
      </c>
      <c r="E25" s="3"/>
      <c r="F25" s="3"/>
      <c r="H25" s="3"/>
    </row>
    <row r="26" customFormat="false" ht="15" hidden="false" customHeight="true" outlineLevel="0" collapsed="false">
      <c r="A26" s="6" t="s">
        <v>181</v>
      </c>
      <c r="B26" s="3"/>
      <c r="C26" s="3"/>
      <c r="D26" s="9" t="n">
        <f aca="false">SUM(D23:D25)</f>
        <v>35168</v>
      </c>
      <c r="E26" s="3"/>
      <c r="F26" s="3"/>
      <c r="H26" s="3"/>
    </row>
    <row r="27" customFormat="false" ht="15" hidden="false" customHeight="true" outlineLevel="0" collapsed="false">
      <c r="A27" s="22" t="s">
        <v>182</v>
      </c>
      <c r="B27" s="3"/>
      <c r="C27" s="3"/>
      <c r="D27" s="8" t="n">
        <f aca="false">D26*Wyjaśnienia!$B$33</f>
        <v>8088.64</v>
      </c>
      <c r="E27" s="3"/>
      <c r="F27" s="3"/>
      <c r="H27" s="3"/>
    </row>
    <row r="28" customFormat="false" ht="15" hidden="false" customHeight="true" outlineLevel="0" collapsed="false">
      <c r="A28" s="6" t="s">
        <v>183</v>
      </c>
      <c r="B28" s="3"/>
      <c r="C28" s="3"/>
      <c r="D28" s="30" t="n">
        <f aca="false">D26+D27</f>
        <v>43256.64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2026-10-30T11:08:00Z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