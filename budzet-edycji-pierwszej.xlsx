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<sst xmlns="http://schemas.openxmlformats.org/spreadsheetml/2006/main" count="395" uniqueCount="293">
  <si>
    <t xml:space="preserve">Budżet pierwszej edycji Nagrody Konstela</t>
  </si>
  <si>
    <t xml:space="preserve">Pięć osobnych budżetów,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</si>
  <si>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</si>
  <si>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</si>
  <si>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</si>
  <si>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</si>
  <si>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</si>
  <si>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</si>
  <si>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</si>
  <si>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</si>
  <si>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</si>
  <si>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</si>
  <si>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</si>
  <si>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</si>
  <si>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</si>
  <si>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</si>
  <si>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</si>
  <si>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</si>
  <si>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</si>
  <si>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</si>
  <si>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</si>
  <si>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</si>
  <si>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</si>
  <si>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</si>
  <si>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</si>
  <si>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</si>
  <si>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</si>
  <si>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</si>
  <si>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</si>
  <si>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</si>
  <si>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</si>
  <si>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</si>
  <si>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</si>
  <si>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</si>
  <si>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</si>
  <si>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</si>
  <si>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</si>
  <si>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</si>
  <si>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</si>
  <si>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</si>
  <si>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</si>
  <si>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</si>
  <si>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</si>
  <si>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</si>
  <si>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</si>
  <si>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</si>
  <si>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</si>
  <si>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</si>
  <si>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</si>
  <si>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</si>
  <si>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</si>
  <si>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</si>
  <si>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</si>
  <si>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</si>
  <si>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</si>
  <si>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</si>
  <si>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 i Budżet Plakatu. W Budżecie Plakatu czekają na wycenę trzy pozycje: wystawa, obsługa prawna i dojazdy finalistów.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</si>
  <si>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</si>
  <si>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</si>
  <si>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</si>
  <si>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</si>
  <si>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</si>
  <si>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</si>
  <si>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</si>
  <si>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</si>
  <si>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</si>
  <si>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</si>
  <si>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</si>
  <si>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</si>
  <si>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</si>
  <si>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</si>
  <si>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</si>
  <si>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</si>
  <si>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</si>
  <si>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</si>
  <si>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</si>
  <si>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</si>
  <si>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</si>
  <si>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Statuetki i dyplomy plakatu (netto)</t>
  </si>
  <si>
    <t xml:space="preserve">Jak przy plebiscycie piosenki.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</si>
  <si>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</si>
  <si>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</si>
  <si>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</si>
  <si>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</si>
  <si>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</si>
  <si>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</si>
  <si>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</si>
  <si>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</si>
  <si>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</si>
  <si>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</si>
  <si>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</si>
  <si>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</si>
  <si>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</si>
  <si>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</si>
  <si>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</si>
  <si>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</si>
  <si>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</si>
  <si>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</si>
  <si>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</si>
  <si>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</si>
  <si>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</si>
  <si>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</si>
  <si>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</si>
  <si>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</si>
  <si>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</si>
  <si>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</si>
  <si>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</si>
  <si>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</si>
  <si>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</si>
  <si>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</si>
  <si>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</si>
  <si>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</si>
  <si>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</si>
  <si>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</si>
  <si>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</si>
  <si>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</si>
  <si>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</si>
  <si>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</si>
  <si>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</si>
  <si>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</si>
  <si>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</si>
  <si>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</si>
  <si>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</si>
  <si>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</si>
  <si>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</si>
  <si>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</si>
  <si>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</si>
  <si>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</si>
  <si>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</si>
  <si>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</si>
  <si>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</si>
  <si>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</si>
  <si>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</si>
  <si>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</si>
  <si>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</si>
  <si>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</si>
  <si>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</si>
  <si>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</si>
  <si>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</si>
  <si>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</si>
  <si>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</si>
  <si>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</si>
  <si>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</si>
  <si>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</si>
  <si>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</si>
  <si>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</si>
  <si>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</si>
  <si>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</si>
  <si>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</si>
  <si>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</si>
  <si>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</si>
  <si>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</si>
  <si>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</si>
  <si>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</si>
  <si>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</si>
  <si>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</si>
  <si>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</si>
  <si>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</si>
  <si>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</si>
  <si>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</si>
  <si>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</si>
  <si>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</si>
  <si>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</si>
  <si>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</si>
  <si>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</si>
  <si>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</si>
  <si>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</si>
  <si>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</si>
  <si>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</si>
  <si>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</si>
  <si>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</si>
  <si>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</si>
  <si>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</si>
  <si>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</si>
  <si>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</si>
  <si>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</si>
  <si>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</si>
  <si>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</si>
  <si>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</si>
  <si>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</si>
  <si>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</si>
  <si>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</si>
  <si>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</si>
  <si>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</si>
  <si>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</si>
  <si>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</si>
  <si>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</si>
  <si>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</si>
  <si>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</si>
  <si>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</si>
  <si>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</si>
  <si>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</si>
  <si>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</si>
  <si>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</si>
  <si>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</si>
  <si>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</si>
  <si>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</si>
  <si>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</si>
  <si>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</si>
  <si>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</si>
  <si>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</si>
  <si>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</si>
  <si>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</si>
  <si>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</si>
  <si>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</si>
  <si>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</si>
  <si>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</si>
  <si>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</si>
  <si>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</si>
  <si>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</si>
  <si>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</si>
  <si>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</si>
  <si>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</si>
  <si>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</si>
  <si>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</si>
  <si>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</si>
  <si>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</si>
  <si>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</si>
  <si>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</si>
  <si>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</si>
  <si>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</si>
  <si>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</si>
  <si>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</si>
  <si>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</si>
  <si>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</si>
  <si>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</si>
  <si>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</si>
  <si>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</si>
  <si>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</si>
  <si>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</si>
  <si>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</si>
  <si>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</si>
  <si>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</si>
  <si>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</si>
  <si>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</si>
  <si>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</si>
  <si>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</si>
  <si>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</si>
  <si>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</si>
  <si>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</si>
  <si>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protokoły odbioru, stan prac, ubezpieczenie, wysyłka powrotna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</si>
  <si>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</si>
  <si>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</si>
  <si>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</si>
  <si>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</si>
  <si>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</si>
  <si>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</si>
  <si>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</si>
  <si>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</si>
  <si>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</si>
  <si>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</si>
  <si>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jak przy plebiscycie piosenki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</si>
  <si>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</si>
  <si>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</si>
  <si>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</si>
  <si>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</si>
  <si>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</si>
  <si>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</si>
  <si>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oświetlenie, opisy prac; zależy od miejsca gali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</si>
  <si>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</si>
  <si>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</si>
  <si>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</si>
  <si>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</si>
  <si>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</si>
  <si>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</si>
  <si>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</si>
  <si>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</si>
  <si>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</si>
  <si>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</si>
  <si>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</si>
  <si>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</si>
  <si>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</si>
  <si>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</si>
  <si>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</si>
  <si>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</si>
  <si>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</si>
  <si>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</si>
  <si>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</si>
  <si>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</si>
  <si>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</si>
  <si>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</si>
  <si>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</si>
  <si>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</si>
  <si>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</si>
  <si>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</si>
  <si>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</si>
  <si>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</si>
  <si>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liczy czytelników od liczby ODCZYTÓW, nie od liczby zgłoszeń - przy dwóch odczytach na zgłoszenie i limicie 20 zgłoszeń na czytelnika 150 zgłoszeń wymaga 15 osób, nie 8.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</si>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</sst>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155496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 t="s">
        <v>16</v>
      </c>
      <c r="C11" s="11" t="n">
        <f aca="false">'Budżet Nagrody'!$D$39+'Budżet Antologii'!$D$38+'Budżet Plebiscytu'!$D$32+'Budżet Plakatu'!$D$34+'Budżet Akademii'!$D$27</f>
        <v>1315498.8</v>
      </c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17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18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19</v>
      </c>
      <c r="B14" s="12" t="n">
        <v>220</v>
      </c>
      <c r="C14" s="13" t="s">
        <v>20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150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300000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10000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9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150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35000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4000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7500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10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80000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0.12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0.3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0.12</v>
      </c>
      <c r="C28" s="13" t="s">
        <v>44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0.23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0.1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52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53</v>
      </c>
      <c r="B33" s="3" t="s">
        <v>54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56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57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58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59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5" t="s">
        <v>60</v>
      </c>
      <c r="B41" s="15"/>
      <c r="C41" s="15"/>
    </row>
    <row r="42" customFormat="false" ht="15" hidden="false" customHeight="true" outlineLevel="0" collapsed="false">
      <c r="A42" s="3" t="s">
        <v>61</v>
      </c>
      <c r="B42" s="12" t="n">
        <v>2</v>
      </c>
      <c r="C42" s="3" t="s">
        <v>62</v>
      </c>
    </row>
    <row r="43" customFormat="false" ht="15" hidden="false" customHeight="true" outlineLevel="0" collapsed="false">
      <c r="A43" s="3" t="s">
        <v>63</v>
      </c>
      <c r="B43" s="16" t="n">
        <v>500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2500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2" t="n">
        <v>15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20</v>
      </c>
      <c r="C46" s="3" t="s">
        <v>70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17" t="s">
        <v>71</v>
      </c>
      <c r="B48" s="17"/>
      <c r="C48" s="17"/>
    </row>
    <row r="49" customFormat="false" ht="15" hidden="false" customHeight="true" outlineLevel="0" collapsed="false">
      <c r="A49" s="1" t="s">
        <v>72</v>
      </c>
      <c r="B49" s="18" t="n">
        <v>150</v>
      </c>
      <c r="C49" s="1" t="s">
        <v>73</v>
      </c>
    </row>
    <row r="50" customFormat="false" ht="15" hidden="false" customHeight="true" outlineLevel="0" collapsed="false">
      <c r="A50" s="1" t="s">
        <v>74</v>
      </c>
      <c r="B50" s="16" t="n">
        <v>90000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6" t="n">
        <v>3000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6" t="n">
        <v>3000</v>
      </c>
      <c r="C52" s="1" t="s">
        <v>79</v>
      </c>
    </row>
    <row r="53" customFormat="false" ht="15" hidden="false" customHeight="true" outlineLevel="0" collapsed="false">
      <c r="A53" s="1" t="s">
        <v>80</v>
      </c>
      <c r="B53" s="18" t="n">
        <v>5</v>
      </c>
      <c r="C53" s="1" t="s">
        <v>81</v>
      </c>
    </row>
    <row r="54" customFormat="false" ht="15" hidden="false" customHeight="true" outlineLevel="0" collapsed="false">
      <c r="A54" s="1" t="s">
        <v>82</v>
      </c>
      <c r="B54" s="18" t="n">
        <v>10</v>
      </c>
      <c r="C54" s="1" t="s">
        <v>83</v>
      </c>
    </row>
    <row r="55" customFormat="false" ht="15" hidden="false" customHeight="true" outlineLevel="0" collapsed="false">
      <c r="A55" s="1" t="s">
        <v>84</v>
      </c>
      <c r="B55" s="16" t="n">
        <v>290</v>
      </c>
      <c r="C55" s="1" t="s">
        <v>85</v>
      </c>
    </row>
    <row r="56" customFormat="false" ht="15" hidden="false" customHeight="true" outlineLevel="0" collapsed="false">
      <c r="A56" s="1" t="s">
        <v>86</v>
      </c>
      <c r="B56" s="18" t="n">
        <v>10</v>
      </c>
      <c r="C56" s="1" t="s">
        <v>87</v>
      </c>
    </row>
    <row r="57" customFormat="false" ht="15" hidden="false" customHeight="true" outlineLevel="0" collapsed="false">
      <c r="A57" s="1" t="s">
        <v>88</v>
      </c>
      <c r="B57" s="16" t="n">
        <v>400</v>
      </c>
      <c r="C57" s="1" t="s">
        <v>89</v>
      </c>
    </row>
    <row r="58" customFormat="false" ht="15" hidden="false" customHeight="true" outlineLevel="0" collapsed="false">
      <c r="A58" s="1" t="s">
        <v>90</v>
      </c>
      <c r="B58" s="16" t="n">
        <v>3000</v>
      </c>
      <c r="C58" s="1" t="s">
        <v>91</v>
      </c>
    </row>
    <row r="59" customFormat="false" ht="15" hidden="false" customHeight="true" outlineLevel="0" collapsed="false">
      <c r="A59" s="1" t="s">
        <v>92</v>
      </c>
      <c r="B59" s="14" t="n">
        <v>0.12</v>
      </c>
      <c r="C59" s="1" t="s">
        <v>93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2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94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103</v>
      </c>
      <c r="B7" s="20" t="n">
        <v>60</v>
      </c>
      <c r="C7" s="20" t="n">
        <v>0</v>
      </c>
      <c r="D7" s="21" t="n">
        <f aca="false">B7+C7*Wyjaśnienia!$B$15/60</f>
        <v>60</v>
      </c>
      <c r="E7" s="22" t="n">
        <f aca="false">D7*Wyjaśnienia!$B$14</f>
        <v>13200</v>
      </c>
      <c r="F7" s="13" t="s">
        <v>104</v>
      </c>
      <c r="G7" s="3"/>
      <c r="H7" s="3"/>
    </row>
    <row r="8" customFormat="false" ht="15" hidden="false" customHeight="true" outlineLevel="0" collapsed="false">
      <c r="A8" s="19" t="s">
        <v>105</v>
      </c>
      <c r="B8" s="20" t="n">
        <v>24</v>
      </c>
      <c r="C8" s="20" t="n">
        <v>0</v>
      </c>
      <c r="D8" s="21" t="n">
        <f aca="false">B8+C8*Wyjaśnienia!$B$15/60</f>
        <v>24</v>
      </c>
      <c r="E8" s="22" t="n">
        <f aca="false">D8*Wyjaśnienia!$B$14</f>
        <v>5280</v>
      </c>
      <c r="F8" s="13" t="s">
        <v>106</v>
      </c>
      <c r="G8" s="3"/>
      <c r="H8" s="3"/>
    </row>
    <row r="9" customFormat="false" ht="15" hidden="false" customHeight="true" outlineLevel="0" collapsed="false">
      <c r="A9" s="19" t="s">
        <v>107</v>
      </c>
      <c r="B9" s="20" t="n">
        <v>50</v>
      </c>
      <c r="C9" s="20" t="n">
        <v>0</v>
      </c>
      <c r="D9" s="21" t="n">
        <f aca="false">B9+C9*Wyjaśnienia!$B$15/60</f>
        <v>50</v>
      </c>
      <c r="E9" s="22" t="n">
        <f aca="false">D9*Wyjaśnienia!$B$14</f>
        <v>11000</v>
      </c>
      <c r="F9" s="13" t="s">
        <v>108</v>
      </c>
      <c r="G9" s="3"/>
      <c r="H9" s="3"/>
    </row>
    <row r="10" customFormat="false" ht="15" hidden="false" customHeight="true" outlineLevel="0" collapsed="false">
      <c r="A10" s="19" t="s">
        <v>109</v>
      </c>
      <c r="B10" s="20" t="n">
        <v>8</v>
      </c>
      <c r="C10" s="20" t="n">
        <v>6</v>
      </c>
      <c r="D10" s="21" t="n">
        <f aca="false">B10+C10*Wyjaśnienia!$B$15/60</f>
        <v>23</v>
      </c>
      <c r="E10" s="22" t="n">
        <f aca="false">D10*Wyjaśnienia!$B$14</f>
        <v>5060</v>
      </c>
      <c r="F10" s="13" t="s">
        <v>110</v>
      </c>
      <c r="G10" s="3"/>
      <c r="H10" s="3"/>
    </row>
    <row r="11" customFormat="false" ht="15" hidden="false" customHeight="true" outlineLevel="0" collapsed="false">
      <c r="A11" s="19" t="s">
        <v>111</v>
      </c>
      <c r="B11" s="20" t="n">
        <v>10</v>
      </c>
      <c r="C11" s="20" t="n">
        <v>4</v>
      </c>
      <c r="D11" s="21" t="n">
        <f aca="false">B11+C11*Wyjaśnienia!$B$15/60</f>
        <v>20</v>
      </c>
      <c r="E11" s="22" t="n">
        <f aca="false">D11*Wyjaśnienia!$B$14</f>
        <v>4400</v>
      </c>
      <c r="F11" s="13" t="s">
        <v>112</v>
      </c>
      <c r="G11" s="3"/>
      <c r="H11" s="3"/>
    </row>
    <row r="12" customFormat="false" ht="15" hidden="false" customHeight="true" outlineLevel="0" collapsed="false">
      <c r="A12" s="19" t="s">
        <v>113</v>
      </c>
      <c r="B12" s="20" t="n">
        <v>20</v>
      </c>
      <c r="C12" s="20" t="n">
        <v>0</v>
      </c>
      <c r="D12" s="21" t="n">
        <f aca="false">B12+C12*Wyjaśnienia!$B$15/60</f>
        <v>20</v>
      </c>
      <c r="E12" s="22" t="n">
        <f aca="false">D12*Wyjaśnienia!$B$14</f>
        <v>4400</v>
      </c>
      <c r="F12" s="13" t="s">
        <v>114</v>
      </c>
      <c r="G12" s="3"/>
      <c r="H12" s="3"/>
    </row>
    <row r="13" customFormat="false" ht="15" hidden="false" customHeight="true" outlineLevel="0" collapsed="false">
      <c r="A13" s="19" t="s">
        <v>115</v>
      </c>
      <c r="B13" s="20" t="n">
        <v>40</v>
      </c>
      <c r="C13" s="20" t="n">
        <v>0</v>
      </c>
      <c r="D13" s="21" t="n">
        <f aca="false">B13+C13*Wyjaśnienia!$B$15/60</f>
        <v>40</v>
      </c>
      <c r="E13" s="22" t="n">
        <f aca="false">D13*Wyjaśnienia!$B$14</f>
        <v>8800</v>
      </c>
      <c r="F13" s="13" t="s">
        <v>116</v>
      </c>
      <c r="G13" s="3"/>
      <c r="H13" s="3"/>
    </row>
    <row r="14" customFormat="false" ht="15" hidden="false" customHeight="true" outlineLevel="0" collapsed="false">
      <c r="A14" s="19" t="s">
        <v>117</v>
      </c>
      <c r="B14" s="20" t="n">
        <v>25</v>
      </c>
      <c r="C14" s="20" t="n">
        <v>0</v>
      </c>
      <c r="D14" s="21" t="n">
        <f aca="false">B14+C14*Wyjaśnienia!$B$15/60</f>
        <v>25</v>
      </c>
      <c r="E14" s="22" t="n">
        <f aca="false">D14*Wyjaśnienia!$B$14</f>
        <v>5500</v>
      </c>
      <c r="F14" s="13" t="s">
        <v>118</v>
      </c>
      <c r="G14" s="3"/>
      <c r="H14" s="3"/>
    </row>
    <row r="15" customFormat="false" ht="15" hidden="false" customHeight="true" outlineLevel="0" collapsed="false">
      <c r="A15" s="19" t="s">
        <v>119</v>
      </c>
      <c r="B15" s="20" t="n">
        <v>45</v>
      </c>
      <c r="C15" s="20" t="n">
        <v>0</v>
      </c>
      <c r="D15" s="21" t="n">
        <f aca="false">B15+C15*Wyjaśnienia!$B$15/60</f>
        <v>45</v>
      </c>
      <c r="E15" s="22" t="n">
        <f aca="false">D15*Wyjaśnienia!$B$14</f>
        <v>9900</v>
      </c>
      <c r="F15" s="13" t="s">
        <v>120</v>
      </c>
      <c r="G15" s="3"/>
      <c r="H15" s="3"/>
    </row>
    <row r="16" customFormat="false" ht="15" hidden="false" customHeight="true" outlineLevel="0" collapsed="false">
      <c r="A16" s="19" t="s">
        <v>121</v>
      </c>
      <c r="B16" s="20" t="n">
        <v>25</v>
      </c>
      <c r="C16" s="20" t="n">
        <v>0</v>
      </c>
      <c r="D16" s="21" t="n">
        <f aca="false">B16+C16*Wyjaśnienia!$B$15/60</f>
        <v>25</v>
      </c>
      <c r="E16" s="22" t="n">
        <f aca="false">D16*Wyjaśnienia!$B$14</f>
        <v>5500</v>
      </c>
      <c r="F16" s="13" t="s">
        <v>122</v>
      </c>
      <c r="G16" s="3"/>
      <c r="H16" s="3"/>
    </row>
    <row r="17" customFormat="false" ht="15" hidden="false" customHeight="true" outlineLevel="0" collapsed="false">
      <c r="A17" s="19" t="s">
        <v>123</v>
      </c>
      <c r="B17" s="20" t="n">
        <v>40</v>
      </c>
      <c r="C17" s="20" t="n">
        <v>0</v>
      </c>
      <c r="D17" s="21" t="n">
        <f aca="false">B17+C17*Wyjaśnienia!$B$15/60</f>
        <v>40</v>
      </c>
      <c r="E17" s="22" t="n">
        <f aca="false">D17*Wyjaśnienia!$B$14</f>
        <v>8800</v>
      </c>
      <c r="F17" s="13" t="s">
        <v>124</v>
      </c>
      <c r="G17" s="3"/>
      <c r="H17" s="3"/>
    </row>
    <row r="18" customFormat="false" ht="15" hidden="false" customHeight="true" outlineLevel="0" collapsed="false">
      <c r="A18" s="6" t="s">
        <v>125</v>
      </c>
      <c r="B18" s="3"/>
      <c r="C18" s="3"/>
      <c r="D18" s="23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126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97</v>
      </c>
      <c r="B21" s="7" t="s">
        <v>127</v>
      </c>
      <c r="C21" s="7" t="s">
        <v>128</v>
      </c>
      <c r="D21" s="7" t="s">
        <v>101</v>
      </c>
      <c r="E21" s="6" t="s">
        <v>102</v>
      </c>
      <c r="F21" s="3"/>
      <c r="G21" s="3"/>
      <c r="H21" s="3"/>
    </row>
    <row r="22" customFormat="false" ht="15" hidden="false" customHeight="true" outlineLevel="0" collapsed="false">
      <c r="A22" s="19" t="s">
        <v>129</v>
      </c>
      <c r="B22" s="24" t="n">
        <v>8000</v>
      </c>
      <c r="C22" s="20" t="n">
        <v>1</v>
      </c>
      <c r="D22" s="22" t="n">
        <f aca="false">B22*C22</f>
        <v>8000</v>
      </c>
      <c r="E22" s="13" t="s">
        <v>130</v>
      </c>
      <c r="F22" s="3"/>
      <c r="G22" s="3"/>
      <c r="H22" s="3"/>
    </row>
    <row r="23" customFormat="false" ht="15" hidden="false" customHeight="true" outlineLevel="0" collapsed="false">
      <c r="A23" s="19" t="s">
        <v>131</v>
      </c>
      <c r="B23" s="24" t="n">
        <v>1500</v>
      </c>
      <c r="C23" s="20" t="n">
        <v>1</v>
      </c>
      <c r="D23" s="22" t="n">
        <f aca="false">B23*C23</f>
        <v>1500</v>
      </c>
      <c r="E23" s="13" t="s">
        <v>132</v>
      </c>
      <c r="F23" s="3"/>
      <c r="G23" s="3"/>
      <c r="H23" s="3"/>
    </row>
    <row r="24" customFormat="false" ht="15" hidden="false" customHeight="true" outlineLevel="0" collapsed="false">
      <c r="A24" s="19" t="s">
        <v>133</v>
      </c>
      <c r="B24" s="24" t="n">
        <v>1200</v>
      </c>
      <c r="C24" s="20" t="n">
        <v>1</v>
      </c>
      <c r="D24" s="22" t="n">
        <f aca="false">B24*C24</f>
        <v>1200</v>
      </c>
      <c r="E24" s="13" t="s">
        <v>134</v>
      </c>
      <c r="F24" s="3"/>
      <c r="G24" s="3"/>
      <c r="H24" s="3"/>
    </row>
    <row r="25" customFormat="false" ht="15" hidden="false" customHeight="true" outlineLevel="0" collapsed="false">
      <c r="A25" s="19" t="s">
        <v>135</v>
      </c>
      <c r="B25" s="24" t="n">
        <v>4000</v>
      </c>
      <c r="C25" s="20" t="n">
        <v>1</v>
      </c>
      <c r="D25" s="22" t="n">
        <f aca="false">B25*C25</f>
        <v>4000</v>
      </c>
      <c r="E25" s="13" t="s">
        <v>136</v>
      </c>
      <c r="F25" s="3"/>
      <c r="G25" s="3"/>
      <c r="H25" s="3"/>
    </row>
    <row r="26" customFormat="false" ht="15" hidden="false" customHeight="true" outlineLevel="0" collapsed="false">
      <c r="A26" s="19" t="s">
        <v>137</v>
      </c>
      <c r="B26" s="24" t="n">
        <v>1500</v>
      </c>
      <c r="C26" s="20" t="n">
        <v>1</v>
      </c>
      <c r="D26" s="22" t="n">
        <f aca="false">B26*C26</f>
        <v>1500</v>
      </c>
      <c r="E26" s="13" t="s">
        <v>138</v>
      </c>
      <c r="F26" s="3"/>
      <c r="G26" s="3"/>
      <c r="H26" s="3"/>
    </row>
    <row r="27" customFormat="false" ht="15" hidden="false" customHeight="true" outlineLevel="0" collapsed="false">
      <c r="A27" s="19" t="s">
        <v>139</v>
      </c>
      <c r="B27" s="24" t="n">
        <v>250</v>
      </c>
      <c r="C27" s="20" t="n">
        <v>1</v>
      </c>
      <c r="D27" s="22" t="n">
        <f aca="false">B27*C27</f>
        <v>250</v>
      </c>
      <c r="E27" s="13" t="s">
        <v>140</v>
      </c>
      <c r="F27" s="3"/>
      <c r="G27" s="3"/>
      <c r="H27" s="3"/>
    </row>
    <row r="28" customFormat="false" ht="15" hidden="false" customHeight="true" outlineLevel="0" collapsed="false">
      <c r="A28" s="19" t="s">
        <v>141</v>
      </c>
      <c r="B28" s="24" t="n">
        <v>32000</v>
      </c>
      <c r="C28" s="20" t="n">
        <v>1</v>
      </c>
      <c r="D28" s="22" t="n">
        <f aca="false">B28*C28</f>
        <v>32000</v>
      </c>
      <c r="E28" s="13" t="s">
        <v>142</v>
      </c>
      <c r="F28" s="3" t="s">
        <v>143</v>
      </c>
      <c r="G28" s="3"/>
      <c r="H28" s="3"/>
    </row>
    <row r="29" customFormat="false" ht="15" hidden="false" customHeight="true" outlineLevel="0" collapsed="false">
      <c r="A29" s="19" t="s">
        <v>144</v>
      </c>
      <c r="B29" s="24" t="n">
        <v>15000</v>
      </c>
      <c r="C29" s="20" t="n">
        <v>1</v>
      </c>
      <c r="D29" s="22" t="n">
        <f aca="false">B29*C29</f>
        <v>15000</v>
      </c>
      <c r="E29" s="13" t="s">
        <v>145</v>
      </c>
      <c r="F29" s="3"/>
      <c r="G29" s="3"/>
      <c r="H29" s="3"/>
    </row>
    <row r="30" customFormat="false" ht="15" hidden="false" customHeight="true" outlineLevel="0" collapsed="false">
      <c r="A30" s="19" t="s">
        <v>146</v>
      </c>
      <c r="B30" s="24" t="n">
        <v>8000</v>
      </c>
      <c r="C30" s="20" t="n">
        <v>1</v>
      </c>
      <c r="D30" s="22" t="n">
        <f aca="false">B30*C30</f>
        <v>8000</v>
      </c>
      <c r="E30" s="13" t="s">
        <v>147</v>
      </c>
      <c r="F30" s="3"/>
      <c r="G30" s="3"/>
      <c r="H30" s="3"/>
    </row>
    <row r="31" customFormat="false" ht="15" hidden="false" customHeight="true" outlineLevel="0" collapsed="false">
      <c r="A31" s="19" t="s">
        <v>148</v>
      </c>
      <c r="B31" s="24" t="n">
        <v>0</v>
      </c>
      <c r="C31" s="20" t="n">
        <v>1</v>
      </c>
      <c r="D31" s="22" t="n">
        <f aca="false">B31*C31</f>
        <v>0</v>
      </c>
      <c r="E31" s="13" t="s">
        <v>149</v>
      </c>
      <c r="F31" s="3"/>
      <c r="G31" s="3"/>
      <c r="H31" s="3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152</v>
      </c>
      <c r="B35" s="3"/>
      <c r="C35" s="3"/>
      <c r="D35" s="22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153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154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9" t="s">
        <v>155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156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9" t="s">
        <v>157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158</v>
      </c>
      <c r="B41" s="3"/>
      <c r="C41" s="3"/>
      <c r="D41" s="25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160</v>
      </c>
      <c r="B7" s="20" t="n">
        <v>45</v>
      </c>
      <c r="C7" s="20" t="n">
        <v>0</v>
      </c>
      <c r="D7" s="21" t="n">
        <f aca="false">B7+C7*Wyjaśnienia!$B$15/60</f>
        <v>45</v>
      </c>
      <c r="E7" s="22" t="n">
        <f aca="false">D7*Wyjaśnienia!$B$14</f>
        <v>9900</v>
      </c>
      <c r="F7" s="13" t="s">
        <v>161</v>
      </c>
      <c r="G7" s="3"/>
      <c r="H7" s="3"/>
    </row>
    <row r="8" customFormat="false" ht="15" hidden="false" customHeight="true" outlineLevel="0" collapsed="false">
      <c r="A8" s="19" t="s">
        <v>162</v>
      </c>
      <c r="B8" s="20" t="n">
        <v>40</v>
      </c>
      <c r="C8" s="20" t="n">
        <v>0</v>
      </c>
      <c r="D8" s="21" t="n">
        <f aca="false">B8+C8*Wyjaśnienia!$B$15/60</f>
        <v>40</v>
      </c>
      <c r="E8" s="22" t="n">
        <f aca="false">D8*Wyjaśnienia!$B$14</f>
        <v>8800</v>
      </c>
      <c r="F8" s="13" t="s">
        <v>163</v>
      </c>
      <c r="G8" s="3"/>
      <c r="H8" s="3"/>
    </row>
    <row r="9" customFormat="false" ht="15" hidden="false" customHeight="true" outlineLevel="0" collapsed="false">
      <c r="A9" s="19" t="s">
        <v>164</v>
      </c>
      <c r="B9" s="20" t="n">
        <v>0</v>
      </c>
      <c r="C9" s="20" t="n">
        <v>4</v>
      </c>
      <c r="D9" s="21" t="n">
        <f aca="false">B9+C9*Wyjaśnienia!$B$15/60</f>
        <v>10</v>
      </c>
      <c r="E9" s="22" t="n">
        <f aca="false">D9*Wyjaśnienia!$B$14</f>
        <v>2200</v>
      </c>
      <c r="F9" s="13" t="s">
        <v>165</v>
      </c>
      <c r="G9" s="3"/>
      <c r="H9" s="3"/>
    </row>
    <row r="10" customFormat="false" ht="15" hidden="false" customHeight="true" outlineLevel="0" collapsed="false">
      <c r="A10" s="19" t="s">
        <v>166</v>
      </c>
      <c r="B10" s="20" t="n">
        <v>50</v>
      </c>
      <c r="C10" s="20" t="n">
        <v>0</v>
      </c>
      <c r="D10" s="21" t="n">
        <f aca="false">B10+C10*Wyjaśnienia!$B$15/60</f>
        <v>50</v>
      </c>
      <c r="E10" s="22" t="n">
        <f aca="false">D10*Wyjaśnienia!$B$14</f>
        <v>11000</v>
      </c>
      <c r="F10" s="13" t="s">
        <v>167</v>
      </c>
      <c r="G10" s="3"/>
      <c r="H10" s="3"/>
    </row>
    <row r="11" customFormat="false" ht="15" hidden="false" customHeight="true" outlineLevel="0" collapsed="false">
      <c r="A11" s="19" t="s">
        <v>168</v>
      </c>
      <c r="B11" s="20" t="n">
        <v>25</v>
      </c>
      <c r="C11" s="20" t="n">
        <v>0</v>
      </c>
      <c r="D11" s="21" t="n">
        <f aca="false">B11+C11*Wyjaśnienia!$B$15/60</f>
        <v>25</v>
      </c>
      <c r="E11" s="22" t="n">
        <f aca="false">D11*Wyjaśnienia!$B$14</f>
        <v>5500</v>
      </c>
      <c r="F11" s="13" t="s">
        <v>169</v>
      </c>
      <c r="G11" s="3"/>
      <c r="H11" s="3"/>
    </row>
    <row r="12" customFormat="false" ht="15" hidden="false" customHeight="true" outlineLevel="0" collapsed="false">
      <c r="A12" s="19" t="s">
        <v>170</v>
      </c>
      <c r="B12" s="20" t="n">
        <v>160</v>
      </c>
      <c r="C12" s="20" t="n">
        <v>0</v>
      </c>
      <c r="D12" s="21" t="n">
        <f aca="false">B12+C12*Wyjaśnienia!$B$15/60</f>
        <v>160</v>
      </c>
      <c r="E12" s="22" t="n">
        <f aca="false">D12*Wyjaśnienia!$B$14</f>
        <v>35200</v>
      </c>
      <c r="F12" s="13" t="s">
        <v>171</v>
      </c>
      <c r="G12" s="3"/>
      <c r="H12" s="3"/>
    </row>
    <row r="13" customFormat="false" ht="15" hidden="false" customHeight="true" outlineLevel="0" collapsed="false">
      <c r="A13" s="19" t="s">
        <v>172</v>
      </c>
      <c r="B13" s="20" t="n">
        <v>50</v>
      </c>
      <c r="C13" s="20" t="n">
        <v>0</v>
      </c>
      <c r="D13" s="21" t="n">
        <f aca="false">B13+C13*Wyjaśnienia!$B$15/60</f>
        <v>50</v>
      </c>
      <c r="E13" s="22" t="n">
        <f aca="false">D13*Wyjaśnienia!$B$14</f>
        <v>11000</v>
      </c>
      <c r="F13" s="13" t="s">
        <v>173</v>
      </c>
      <c r="G13" s="3"/>
      <c r="H13" s="3"/>
    </row>
    <row r="14" customFormat="false" ht="15" hidden="false" customHeight="true" outlineLevel="0" collapsed="false">
      <c r="A14" s="19" t="s">
        <v>174</v>
      </c>
      <c r="B14" s="20" t="n">
        <v>72</v>
      </c>
      <c r="C14" s="20" t="n">
        <v>0</v>
      </c>
      <c r="D14" s="21" t="n">
        <f aca="false">B14+C14*Wyjaśnienia!$B$15/60</f>
        <v>72</v>
      </c>
      <c r="E14" s="22" t="n">
        <f aca="false">D14*Wyjaśnienia!$B$14</f>
        <v>15840</v>
      </c>
      <c r="F14" s="13"/>
    </row>
    <row r="15" customFormat="false" ht="15" hidden="false" customHeight="true" outlineLevel="0" collapsed="false">
      <c r="A15" s="6" t="s">
        <v>125</v>
      </c>
      <c r="B15" s="3"/>
      <c r="C15" s="3"/>
      <c r="D15" s="23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126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97</v>
      </c>
      <c r="B18" s="7" t="s">
        <v>127</v>
      </c>
      <c r="C18" s="7" t="s">
        <v>128</v>
      </c>
      <c r="D18" s="7" t="s">
        <v>101</v>
      </c>
      <c r="E18" s="6" t="s">
        <v>102</v>
      </c>
      <c r="F18" s="3"/>
      <c r="G18" s="3"/>
      <c r="H18" s="3"/>
    </row>
    <row r="19" customFormat="false" ht="15" hidden="false" customHeight="true" outlineLevel="0" collapsed="false">
      <c r="A19" s="19" t="s">
        <v>175</v>
      </c>
      <c r="B19" s="24" t="n">
        <v>3000</v>
      </c>
      <c r="C19" s="20" t="n">
        <v>1</v>
      </c>
      <c r="D19" s="22" t="n">
        <f aca="false">B19*C19</f>
        <v>3000</v>
      </c>
      <c r="E19" s="13" t="s">
        <v>176</v>
      </c>
      <c r="F19" s="3"/>
      <c r="G19" s="3"/>
      <c r="H19" s="3"/>
    </row>
    <row r="20" customFormat="false" ht="15" hidden="false" customHeight="true" outlineLevel="0" collapsed="false">
      <c r="A20" s="19" t="s">
        <v>177</v>
      </c>
      <c r="B20" s="24" t="n">
        <v>6000</v>
      </c>
      <c r="C20" s="20" t="n">
        <v>1</v>
      </c>
      <c r="D20" s="22" t="n">
        <f aca="false">B20*C20</f>
        <v>6000</v>
      </c>
      <c r="E20" s="13" t="s">
        <v>178</v>
      </c>
      <c r="F20" s="3" t="s">
        <v>179</v>
      </c>
      <c r="G20" s="3"/>
      <c r="H20" s="3"/>
    </row>
    <row r="21" customFormat="false" ht="15" hidden="false" customHeight="true" outlineLevel="0" collapsed="false">
      <c r="A21" s="19" t="s">
        <v>180</v>
      </c>
      <c r="B21" s="24" t="n">
        <v>10000</v>
      </c>
      <c r="C21" s="20" t="n">
        <v>1</v>
      </c>
      <c r="D21" s="22" t="n">
        <f aca="false">B21*C21</f>
        <v>10000</v>
      </c>
      <c r="E21" s="13" t="s">
        <v>181</v>
      </c>
      <c r="F21" s="3"/>
      <c r="G21" s="3"/>
      <c r="H21" s="3"/>
    </row>
    <row r="22" customFormat="false" ht="15" hidden="false" customHeight="true" outlineLevel="0" collapsed="false">
      <c r="A22" s="19" t="s">
        <v>182</v>
      </c>
      <c r="B22" s="24" t="n">
        <v>40000</v>
      </c>
      <c r="C22" s="20" t="n">
        <v>1</v>
      </c>
      <c r="D22" s="22" t="n">
        <f aca="false">B22*C22</f>
        <v>40000</v>
      </c>
      <c r="E22" s="13" t="s">
        <v>183</v>
      </c>
      <c r="F22" s="3"/>
      <c r="G22" s="3"/>
      <c r="H22" s="3"/>
    </row>
    <row r="23" customFormat="false" ht="15" hidden="false" customHeight="true" outlineLevel="0" collapsed="false">
      <c r="A23" s="19" t="s">
        <v>184</v>
      </c>
      <c r="B23" s="24" t="n">
        <v>4000</v>
      </c>
      <c r="C23" s="20" t="n">
        <v>1</v>
      </c>
      <c r="D23" s="22" t="n">
        <f aca="false">B23*C23</f>
        <v>4000</v>
      </c>
      <c r="E23" s="13" t="s">
        <v>185</v>
      </c>
      <c r="F23" s="3"/>
      <c r="G23" s="3"/>
      <c r="H23" s="3"/>
    </row>
    <row r="24" customFormat="false" ht="15" hidden="false" customHeight="true" outlineLevel="0" collapsed="false">
      <c r="A24" s="19" t="s">
        <v>186</v>
      </c>
      <c r="B24" s="24" t="n">
        <v>3000</v>
      </c>
      <c r="C24" s="20" t="n">
        <v>1</v>
      </c>
      <c r="D24" s="22" t="n">
        <f aca="false">B24*C24</f>
        <v>3000</v>
      </c>
      <c r="E24" s="13" t="s">
        <v>187</v>
      </c>
      <c r="F24" s="3"/>
      <c r="G24" s="3"/>
      <c r="H24" s="3"/>
    </row>
    <row r="25" customFormat="false" ht="15" hidden="false" customHeight="true" outlineLevel="0" collapsed="false">
      <c r="A25" s="19" t="s">
        <v>188</v>
      </c>
      <c r="B25" s="24" t="n">
        <v>4000</v>
      </c>
      <c r="C25" s="20" t="n">
        <v>1</v>
      </c>
      <c r="D25" s="22" t="n">
        <f aca="false">B25*C25</f>
        <v>4000</v>
      </c>
      <c r="E25" s="13" t="s">
        <v>189</v>
      </c>
      <c r="F25" s="3"/>
      <c r="G25" s="3"/>
      <c r="H25" s="3"/>
    </row>
    <row r="26" customFormat="false" ht="15" hidden="false" customHeight="true" outlineLevel="0" collapsed="false">
      <c r="A26" s="19" t="s">
        <v>190</v>
      </c>
      <c r="B26" s="24" t="n">
        <v>0</v>
      </c>
      <c r="C26" s="20" t="n">
        <v>1</v>
      </c>
      <c r="D26" s="22" t="n">
        <f aca="false">B26*C26</f>
        <v>0</v>
      </c>
      <c r="E26" s="13" t="s">
        <v>191</v>
      </c>
      <c r="F26" s="3"/>
      <c r="G26" s="3"/>
      <c r="H26" s="3"/>
    </row>
    <row r="27" customFormat="false" ht="15" hidden="false" customHeight="true" outlineLevel="0" collapsed="false">
      <c r="A27" s="19" t="s">
        <v>192</v>
      </c>
      <c r="B27" s="24" t="n">
        <v>15000</v>
      </c>
      <c r="C27" s="20" t="n">
        <v>1</v>
      </c>
      <c r="D27" s="22" t="n">
        <f aca="false">B27*C27</f>
        <v>15000</v>
      </c>
      <c r="E27" s="13" t="s">
        <v>193</v>
      </c>
      <c r="F27" s="3"/>
      <c r="G27" s="3"/>
      <c r="H27" s="3"/>
    </row>
    <row r="28" customFormat="false" ht="15" hidden="false" customHeight="true" outlineLevel="0" collapsed="false">
      <c r="A28" s="19" t="s">
        <v>194</v>
      </c>
      <c r="B28" s="24" t="n">
        <v>6000</v>
      </c>
      <c r="C28" s="20" t="n">
        <v>1</v>
      </c>
      <c r="D28" s="22" t="n">
        <f aca="false">B28*C28</f>
        <v>6000</v>
      </c>
      <c r="E28" s="13" t="s">
        <v>195</v>
      </c>
      <c r="F28" s="3"/>
      <c r="G28" s="3"/>
      <c r="H28" s="3"/>
    </row>
    <row r="29" customFormat="false" ht="15" hidden="false" customHeight="true" outlineLevel="0" collapsed="false">
      <c r="A29" s="19" t="s">
        <v>196</v>
      </c>
      <c r="B29" s="24" t="n">
        <v>30000</v>
      </c>
      <c r="C29" s="20" t="n">
        <v>1</v>
      </c>
      <c r="D29" s="22" t="n">
        <f aca="false">B29*C29</f>
        <v>30000</v>
      </c>
      <c r="E29" s="13" t="s">
        <v>197</v>
      </c>
      <c r="F29" s="3"/>
      <c r="G29" s="3"/>
      <c r="H29" s="3"/>
    </row>
    <row r="30" customFormat="false" ht="15" hidden="false" customHeight="true" outlineLevel="0" collapsed="false">
      <c r="A30" s="26" t="s">
        <v>198</v>
      </c>
      <c r="B30" s="16" t="n">
        <v>4500</v>
      </c>
      <c r="C30" s="27" t="n">
        <v>1</v>
      </c>
      <c r="D30" s="8" t="n">
        <f aca="false">B30*C30</f>
        <v>4500</v>
      </c>
      <c r="F30" s="26" t="s">
        <v>199</v>
      </c>
    </row>
    <row r="31" customFormat="false" ht="15" hidden="false" customHeight="true" outlineLevel="0" collapsed="false">
      <c r="A31" s="26" t="s">
        <v>200</v>
      </c>
      <c r="B31" s="16" t="n">
        <v>0</v>
      </c>
      <c r="C31" s="27" t="n">
        <v>1</v>
      </c>
      <c r="D31" s="8" t="n">
        <f aca="false">B31*C31</f>
        <v>0</v>
      </c>
      <c r="E31" s="1" t="s">
        <v>201</v>
      </c>
      <c r="F31" s="26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8"/>
      <c r="B33" s="28"/>
      <c r="C33" s="28"/>
      <c r="D33" s="28"/>
      <c r="E33" s="28"/>
      <c r="F33" s="28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153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154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202</v>
      </c>
      <c r="B37" s="3"/>
      <c r="C37" s="3"/>
      <c r="D37" s="8" t="n">
        <f aca="false">(D35+D36)*Wyjaśnienia!$B$27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156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157</v>
      </c>
      <c r="B39" s="3"/>
      <c r="C39" s="3"/>
      <c r="D39" s="8" t="n">
        <f aca="false">D38*Wyjaśnienia!$B$29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158</v>
      </c>
      <c r="B40" s="3"/>
      <c r="C40" s="3"/>
      <c r="D40" s="25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203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204</v>
      </c>
      <c r="B7" s="20" t="n">
        <v>0</v>
      </c>
      <c r="C7" s="20" t="n">
        <v>10</v>
      </c>
      <c r="D7" s="21" t="n">
        <f aca="false">B7+C7*Wyjaśnienia!$B$19/60</f>
        <v>25</v>
      </c>
      <c r="E7" s="22" t="n">
        <f aca="false">D7*Wyjaśnienia!$B$14</f>
        <v>5500</v>
      </c>
      <c r="F7" s="13" t="s">
        <v>205</v>
      </c>
      <c r="G7" s="3"/>
      <c r="H7" s="3"/>
    </row>
    <row r="8" customFormat="false" ht="15" hidden="false" customHeight="true" outlineLevel="0" collapsed="false">
      <c r="A8" s="19" t="s">
        <v>206</v>
      </c>
      <c r="B8" s="20" t="n">
        <v>40</v>
      </c>
      <c r="C8" s="21"/>
      <c r="D8" s="21" t="n">
        <f aca="false">B8+C8*Wyjaśnienia!$B$19/60</f>
        <v>40</v>
      </c>
      <c r="E8" s="22" t="n">
        <f aca="false">D8*Wyjaśnienia!$B$14</f>
        <v>8800</v>
      </c>
      <c r="F8" s="13" t="s">
        <v>207</v>
      </c>
      <c r="G8" s="3"/>
      <c r="H8" s="3"/>
    </row>
    <row r="9" customFormat="false" ht="15" hidden="false" customHeight="true" outlineLevel="0" collapsed="false">
      <c r="A9" s="19" t="s">
        <v>208</v>
      </c>
      <c r="B9" s="20" t="n">
        <v>30</v>
      </c>
      <c r="C9" s="21"/>
      <c r="D9" s="21" t="n">
        <f aca="false">B9+C9*Wyjaśnienia!$B$19/60</f>
        <v>30</v>
      </c>
      <c r="E9" s="22" t="n">
        <f aca="false">D9*Wyjaśnienia!$B$14</f>
        <v>6600</v>
      </c>
      <c r="F9" s="13" t="s">
        <v>209</v>
      </c>
      <c r="G9" s="3"/>
      <c r="H9" s="3"/>
    </row>
    <row r="10" customFormat="false" ht="15" hidden="false" customHeight="true" outlineLevel="0" collapsed="false">
      <c r="A10" s="19" t="s">
        <v>210</v>
      </c>
      <c r="B10" s="20" t="n">
        <v>20</v>
      </c>
      <c r="C10" s="21"/>
      <c r="D10" s="21" t="n">
        <f aca="false">B10+C10*Wyjaśnienia!$B$19/60</f>
        <v>20</v>
      </c>
      <c r="E10" s="22" t="n">
        <f aca="false">D10*Wyjaśnienia!$B$14</f>
        <v>4400</v>
      </c>
      <c r="F10" s="13" t="s">
        <v>211</v>
      </c>
      <c r="G10" s="3"/>
      <c r="H10" s="3"/>
    </row>
    <row r="11" customFormat="false" ht="15" hidden="false" customHeight="true" outlineLevel="0" collapsed="false">
      <c r="A11" s="19" t="s">
        <v>212</v>
      </c>
      <c r="B11" s="20" t="n">
        <v>50</v>
      </c>
      <c r="C11" s="21"/>
      <c r="D11" s="21" t="n">
        <f aca="false">B11+C11*Wyjaśnienia!$B$19/60</f>
        <v>50</v>
      </c>
      <c r="E11" s="22" t="n">
        <f aca="false">D11*Wyjaśnienia!$B$14</f>
        <v>11000</v>
      </c>
      <c r="F11" s="13" t="s">
        <v>213</v>
      </c>
      <c r="G11" s="3"/>
      <c r="H11" s="3"/>
    </row>
    <row r="12" customFormat="false" ht="15" hidden="false" customHeight="true" outlineLevel="0" collapsed="false">
      <c r="A12" s="6" t="s">
        <v>125</v>
      </c>
      <c r="B12" s="3"/>
      <c r="C12" s="3"/>
      <c r="D12" s="23" t="n">
        <f aca="false">SUM(D7:D11)</f>
        <v>165</v>
      </c>
      <c r="E12" s="9" t="n">
        <f aca="false">SUM(E7:E11)</f>
        <v>36300</v>
      </c>
      <c r="F12" s="3" t="s">
        <v>214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126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97</v>
      </c>
      <c r="B15" s="7" t="s">
        <v>127</v>
      </c>
      <c r="C15" s="7" t="s">
        <v>128</v>
      </c>
      <c r="D15" s="7" t="s">
        <v>101</v>
      </c>
      <c r="E15" s="6" t="s">
        <v>102</v>
      </c>
      <c r="F15" s="3"/>
      <c r="G15" s="3"/>
      <c r="H15" s="3"/>
    </row>
    <row r="16" customFormat="false" ht="15" hidden="false" customHeight="true" outlineLevel="0" collapsed="false">
      <c r="A16" s="19" t="s">
        <v>215</v>
      </c>
      <c r="B16" s="22" t="n">
        <f aca="false">Wyjaśnienia!$B$20</f>
        <v>35000</v>
      </c>
      <c r="C16" s="20" t="n">
        <v>1</v>
      </c>
      <c r="D16" s="22" t="n">
        <f aca="false">B16*C16</f>
        <v>35000</v>
      </c>
      <c r="E16" s="13" t="s">
        <v>216</v>
      </c>
      <c r="F16" s="3"/>
      <c r="G16" s="3"/>
      <c r="H16" s="3"/>
    </row>
    <row r="17" customFormat="false" ht="15" hidden="false" customHeight="true" outlineLevel="0" collapsed="false">
      <c r="A17" s="19" t="s">
        <v>217</v>
      </c>
      <c r="B17" s="22" t="n">
        <f aca="false">Wyjaśnienia!$B$21</f>
        <v>4000</v>
      </c>
      <c r="C17" s="20" t="n">
        <v>1</v>
      </c>
      <c r="D17" s="22" t="n">
        <f aca="false">B17*C17</f>
        <v>4000</v>
      </c>
      <c r="E17" s="13" t="s">
        <v>218</v>
      </c>
      <c r="F17" s="3"/>
      <c r="G17" s="3"/>
      <c r="H17" s="3"/>
    </row>
    <row r="18" customFormat="false" ht="15" hidden="false" customHeight="true" outlineLevel="0" collapsed="false">
      <c r="A18" s="19" t="s">
        <v>219</v>
      </c>
      <c r="B18" s="22" t="n">
        <f aca="false">Wyjaśnienia!$B$22</f>
        <v>7500</v>
      </c>
      <c r="C18" s="21" t="n">
        <f aca="false">Wyjaśnienia!$B$23</f>
        <v>10</v>
      </c>
      <c r="D18" s="22" t="n">
        <f aca="false">B18*C18</f>
        <v>75000</v>
      </c>
      <c r="E18" s="13" t="s">
        <v>220</v>
      </c>
      <c r="F18" s="3"/>
      <c r="G18" s="3"/>
      <c r="H18" s="3"/>
    </row>
    <row r="19" customFormat="false" ht="15" hidden="false" customHeight="true" outlineLevel="0" collapsed="false">
      <c r="A19" s="19" t="s">
        <v>39</v>
      </c>
      <c r="B19" s="22" t="n">
        <f aca="false">Wyjaśnienia!$B$24</f>
        <v>80000</v>
      </c>
      <c r="C19" s="20" t="n">
        <v>1</v>
      </c>
      <c r="D19" s="22" t="n">
        <f aca="false">B19*C19</f>
        <v>80000</v>
      </c>
      <c r="E19" s="13" t="s">
        <v>221</v>
      </c>
      <c r="F19" s="3"/>
      <c r="G19" s="3"/>
      <c r="H19" s="3"/>
    </row>
    <row r="20" customFormat="false" ht="15" hidden="false" customHeight="true" outlineLevel="0" collapsed="false">
      <c r="A20" s="19" t="s">
        <v>41</v>
      </c>
      <c r="B20" s="22" t="n">
        <f aca="false">Wyjaśnienia!$B$25</f>
        <v>3000</v>
      </c>
      <c r="C20" s="20" t="n">
        <v>1</v>
      </c>
      <c r="D20" s="22" t="n">
        <f aca="false">B20*C20</f>
        <v>3000</v>
      </c>
      <c r="E20" s="13" t="s">
        <v>222</v>
      </c>
      <c r="F20" s="3"/>
      <c r="G20" s="3"/>
      <c r="H20" s="3"/>
    </row>
    <row r="21" customFormat="false" ht="15" hidden="false" customHeight="true" outlineLevel="0" collapsed="false">
      <c r="A21" s="19" t="s">
        <v>223</v>
      </c>
      <c r="B21" s="24" t="n">
        <v>0</v>
      </c>
      <c r="C21" s="20" t="n">
        <v>1</v>
      </c>
      <c r="D21" s="22" t="n">
        <f aca="false">B21*C21</f>
        <v>0</v>
      </c>
      <c r="E21" s="13" t="s">
        <v>224</v>
      </c>
      <c r="F21" s="3"/>
      <c r="G21" s="3"/>
      <c r="H21" s="3"/>
    </row>
    <row r="22" customFormat="false" ht="15" hidden="false" customHeight="true" outlineLevel="0" collapsed="false">
      <c r="A22" s="19" t="s">
        <v>225</v>
      </c>
      <c r="B22" s="24" t="n">
        <v>0</v>
      </c>
      <c r="C22" s="20" t="n">
        <v>1</v>
      </c>
      <c r="D22" s="22" t="n">
        <f aca="false">B22*C22</f>
        <v>0</v>
      </c>
      <c r="E22" s="13" t="s">
        <v>226</v>
      </c>
      <c r="F22" s="3"/>
      <c r="G22" s="3"/>
      <c r="H22" s="3"/>
    </row>
    <row r="23" customFormat="false" ht="15" hidden="false" customHeight="true" outlineLevel="0" collapsed="false">
      <c r="A23" s="26" t="s">
        <v>227</v>
      </c>
      <c r="B23" s="16" t="n">
        <v>0</v>
      </c>
      <c r="C23" s="27" t="n">
        <v>1</v>
      </c>
      <c r="D23" s="8" t="n">
        <f aca="false">B23*C23</f>
        <v>0</v>
      </c>
      <c r="E23" s="1" t="s">
        <v>228</v>
      </c>
      <c r="F23" s="26" t="s">
        <v>229</v>
      </c>
    </row>
    <row r="24" customFormat="false" ht="15" hidden="false" customHeight="true" outlineLevel="0" collapsed="false">
      <c r="A24" s="26" t="s">
        <v>230</v>
      </c>
      <c r="B24" s="16" t="n">
        <v>0</v>
      </c>
      <c r="C24" s="27" t="n">
        <v>1</v>
      </c>
      <c r="D24" s="8" t="n">
        <f aca="false">B24*C24</f>
        <v>0</v>
      </c>
      <c r="E24" s="1" t="s">
        <v>231</v>
      </c>
      <c r="F24" s="26"/>
    </row>
    <row r="25" customFormat="false" ht="15" hidden="false" customHeight="true" outlineLevel="0" collapsed="false">
      <c r="A25" s="6" t="s">
        <v>150</v>
      </c>
      <c r="B25" s="3"/>
      <c r="C25" s="3"/>
      <c r="D25" s="23" t="n">
        <f aca="false">SUM(D16:D24)</f>
        <v>197000</v>
      </c>
      <c r="E25" s="9"/>
      <c r="F25" s="3"/>
      <c r="G25" s="3"/>
      <c r="H25" s="3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3"/>
      <c r="H26" s="3"/>
    </row>
    <row r="27" customFormat="false" ht="15" hidden="false" customHeight="true" outlineLevel="0" collapsed="false">
      <c r="A27" s="5" t="s">
        <v>151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9" t="s">
        <v>152</v>
      </c>
      <c r="B28" s="3"/>
      <c r="C28" s="3"/>
      <c r="D28" s="22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9" t="s">
        <v>153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9" t="s">
        <v>232</v>
      </c>
      <c r="B30" s="3"/>
      <c r="C30" s="3"/>
      <c r="D30" s="8" t="n">
        <f aca="false">D25-D28</f>
        <v>158000</v>
      </c>
      <c r="E30" s="3"/>
      <c r="F30" s="3"/>
      <c r="G30" s="3"/>
      <c r="H30" s="3"/>
    </row>
    <row r="31" customFormat="false" ht="15" hidden="false" customHeight="true" outlineLevel="0" collapsed="false">
      <c r="A31" s="19" t="s">
        <v>155</v>
      </c>
      <c r="B31" s="3"/>
      <c r="C31" s="3"/>
      <c r="D31" s="8" t="n">
        <f aca="false">(D29+D30)*Wyjaśnienia!$B$28</f>
        <v>23316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156</v>
      </c>
      <c r="B32" s="3"/>
      <c r="C32" s="3"/>
      <c r="D32" s="9" t="n">
        <f aca="false">SUM(D28:D31)</f>
        <v>256616</v>
      </c>
      <c r="E32" s="3"/>
      <c r="F32" s="3"/>
      <c r="G32" s="3"/>
      <c r="H32" s="3"/>
    </row>
    <row r="33" customFormat="false" ht="15" hidden="false" customHeight="true" outlineLevel="0" collapsed="false">
      <c r="A33" s="19" t="s">
        <v>157</v>
      </c>
      <c r="B33" s="3"/>
      <c r="C33" s="3"/>
      <c r="D33" s="8" t="n">
        <f aca="false">D32*Wyjaśnienia!$B$29</f>
        <v>59021.68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158</v>
      </c>
      <c r="B34" s="3"/>
      <c r="C34" s="3"/>
      <c r="D34" s="25" t="n">
        <f aca="false">D32+D33</f>
        <v>315637.68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29" t="s">
        <v>14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28" t="s">
        <v>233</v>
      </c>
      <c r="B2" s="28"/>
      <c r="C2" s="28"/>
      <c r="D2" s="28"/>
      <c r="E2" s="28"/>
      <c r="F2" s="28"/>
    </row>
    <row r="3" customFormat="false" ht="15" hidden="false" customHeight="true" outlineLevel="0" collapsed="false">
      <c r="A3" s="28" t="s">
        <v>95</v>
      </c>
      <c r="B3" s="28"/>
      <c r="C3" s="28"/>
      <c r="D3" s="28"/>
      <c r="E3" s="28"/>
      <c r="F3" s="28"/>
    </row>
    <row r="5" customFormat="false" ht="15" hidden="false" customHeight="true" outlineLevel="0" collapsed="false">
      <c r="A5" s="29" t="s">
        <v>96</v>
      </c>
      <c r="B5" s="29"/>
      <c r="C5" s="29"/>
      <c r="D5" s="29"/>
      <c r="E5" s="29"/>
      <c r="F5" s="29"/>
    </row>
    <row r="6" customFormat="false" ht="15" hidden="false" customHeight="true" outlineLevel="0" collapsed="false">
      <c r="A6" s="10" t="s">
        <v>97</v>
      </c>
      <c r="B6" s="10" t="s">
        <v>98</v>
      </c>
      <c r="C6" s="10" t="s">
        <v>99</v>
      </c>
      <c r="D6" s="10" t="s">
        <v>100</v>
      </c>
      <c r="E6" s="10" t="s">
        <v>101</v>
      </c>
      <c r="F6" s="10" t="s">
        <v>102</v>
      </c>
    </row>
    <row r="7" customFormat="false" ht="15" hidden="false" customHeight="true" outlineLevel="0" collapsed="false">
      <c r="A7" s="3" t="s">
        <v>234</v>
      </c>
      <c r="B7" s="18" t="n">
        <v>0</v>
      </c>
      <c r="C7" s="18" t="n">
        <v>8</v>
      </c>
      <c r="D7" s="30" t="n">
        <f aca="false">B7+C7*Wyjaśnienia!$B$49/60</f>
        <v>20</v>
      </c>
      <c r="E7" s="8" t="n">
        <f aca="false">D7*Wyjaśnienia!$B$14</f>
        <v>4400</v>
      </c>
      <c r="F7" s="3" t="s">
        <v>235</v>
      </c>
    </row>
    <row r="8" customFormat="false" ht="15" hidden="false" customHeight="true" outlineLevel="0" collapsed="false">
      <c r="A8" s="3" t="s">
        <v>236</v>
      </c>
      <c r="B8" s="18" t="n">
        <v>30</v>
      </c>
      <c r="C8" s="30"/>
      <c r="D8" s="30" t="n">
        <f aca="false">B8+C8*Wyjaśnienia!$B$49/60</f>
        <v>30</v>
      </c>
      <c r="E8" s="8" t="n">
        <f aca="false">D8*Wyjaśnienia!$B$14</f>
        <v>6600</v>
      </c>
      <c r="F8" s="3" t="s">
        <v>237</v>
      </c>
    </row>
    <row r="9" customFormat="false" ht="15" hidden="false" customHeight="true" outlineLevel="0" collapsed="false">
      <c r="A9" s="3" t="s">
        <v>210</v>
      </c>
      <c r="B9" s="18" t="n">
        <v>20</v>
      </c>
      <c r="C9" s="30"/>
      <c r="D9" s="30" t="n">
        <f aca="false">B9+C9*Wyjaśnienia!$B$49/60</f>
        <v>20</v>
      </c>
      <c r="E9" s="8" t="n">
        <f aca="false">D9*Wyjaśnienia!$B$14</f>
        <v>4400</v>
      </c>
      <c r="F9" s="3" t="s">
        <v>238</v>
      </c>
    </row>
    <row r="10" customFormat="false" ht="15" hidden="false" customHeight="true" outlineLevel="0" collapsed="false">
      <c r="A10" s="3" t="s">
        <v>239</v>
      </c>
      <c r="B10" s="18" t="n">
        <v>35</v>
      </c>
      <c r="C10" s="30"/>
      <c r="D10" s="30" t="n">
        <f aca="false">B10+C10*Wyjaśnienia!$B$49/60</f>
        <v>35</v>
      </c>
      <c r="E10" s="8" t="n">
        <f aca="false">D10*Wyjaśnienia!$B$14</f>
        <v>7700</v>
      </c>
      <c r="F10" s="3" t="s">
        <v>240</v>
      </c>
    </row>
    <row r="11" customFormat="false" ht="15" hidden="false" customHeight="true" outlineLevel="0" collapsed="false">
      <c r="A11" s="3" t="s">
        <v>241</v>
      </c>
      <c r="B11" s="18" t="n">
        <v>15</v>
      </c>
      <c r="C11" s="30"/>
      <c r="D11" s="30" t="n">
        <f aca="false">B11+C11*Wyjaśnienia!$B$49/60</f>
        <v>15</v>
      </c>
      <c r="E11" s="8" t="n">
        <f aca="false">D11*Wyjaśnienia!$B$14</f>
        <v>3300</v>
      </c>
      <c r="F11" s="3" t="s">
        <v>242</v>
      </c>
    </row>
    <row r="12" customFormat="false" ht="15" hidden="false" customHeight="true" outlineLevel="0" collapsed="false">
      <c r="A12" s="3" t="s">
        <v>243</v>
      </c>
      <c r="B12" s="18" t="n">
        <v>50</v>
      </c>
      <c r="C12" s="30"/>
      <c r="D12" s="30" t="n">
        <f aca="false">B12+C12*Wyjaśnienia!$B$49/60</f>
        <v>50</v>
      </c>
      <c r="E12" s="8" t="n">
        <f aca="false">D12*Wyjaśnienia!$B$14</f>
        <v>11000</v>
      </c>
      <c r="F12" s="3" t="s">
        <v>244</v>
      </c>
    </row>
    <row r="13" customFormat="false" ht="15" hidden="false" customHeight="true" outlineLevel="0" collapsed="false">
      <c r="A13" s="3" t="s">
        <v>245</v>
      </c>
      <c r="B13" s="18" t="n">
        <v>20</v>
      </c>
      <c r="C13" s="30"/>
      <c r="D13" s="30" t="n">
        <f aca="false">B13+C13*Wyjaśnienia!$B$49/60</f>
        <v>20</v>
      </c>
      <c r="E13" s="8" t="n">
        <f aca="false">D13*Wyjaśnienia!$B$14</f>
        <v>4400</v>
      </c>
      <c r="F13" s="3" t="s">
        <v>246</v>
      </c>
    </row>
    <row r="14" customFormat="false" ht="15" hidden="false" customHeight="true" outlineLevel="0" collapsed="false">
      <c r="A14" s="10" t="s">
        <v>125</v>
      </c>
      <c r="D14" s="31" t="n">
        <f aca="false">SUM(D7:D13)</f>
        <v>190</v>
      </c>
      <c r="E14" s="11" t="n">
        <f aca="false">SUM(E7:E13)</f>
        <v>41800</v>
      </c>
      <c r="F14" s="3" t="s">
        <v>214</v>
      </c>
    </row>
    <row r="16" customFormat="false" ht="15" hidden="false" customHeight="true" outlineLevel="0" collapsed="false">
      <c r="A16" s="29" t="s">
        <v>126</v>
      </c>
      <c r="B16" s="29"/>
      <c r="C16" s="29"/>
      <c r="D16" s="29"/>
      <c r="E16" s="29"/>
      <c r="F16" s="29"/>
    </row>
    <row r="17" customFormat="false" ht="15" hidden="false" customHeight="true" outlineLevel="0" collapsed="false">
      <c r="A17" s="10" t="s">
        <v>97</v>
      </c>
      <c r="B17" s="10" t="s">
        <v>127</v>
      </c>
      <c r="C17" s="10" t="s">
        <v>128</v>
      </c>
      <c r="D17" s="10" t="s">
        <v>101</v>
      </c>
      <c r="E17" s="10" t="s">
        <v>102</v>
      </c>
    </row>
    <row r="18" customFormat="false" ht="15" hidden="false" customHeight="true" outlineLevel="0" collapsed="false">
      <c r="A18" s="3" t="s">
        <v>247</v>
      </c>
      <c r="B18" s="8" t="n">
        <f aca="false">Wyjaśnienia!$B$50</f>
        <v>90000</v>
      </c>
      <c r="C18" s="30" t="n">
        <v>1</v>
      </c>
      <c r="D18" s="8" t="n">
        <f aca="false">B18*C18</f>
        <v>90000</v>
      </c>
      <c r="E18" s="3" t="s">
        <v>248</v>
      </c>
    </row>
    <row r="19" customFormat="false" ht="15" hidden="false" customHeight="true" outlineLevel="0" collapsed="false">
      <c r="A19" s="3" t="s">
        <v>249</v>
      </c>
      <c r="B19" s="8" t="n">
        <f aca="false">Wyjaśnienia!$B$51</f>
        <v>3000</v>
      </c>
      <c r="C19" s="30" t="n">
        <v>1</v>
      </c>
      <c r="D19" s="8" t="n">
        <f aca="false">B19*C19</f>
        <v>3000</v>
      </c>
      <c r="E19" s="3" t="s">
        <v>250</v>
      </c>
    </row>
    <row r="20" customFormat="false" ht="15" hidden="false" customHeight="true" outlineLevel="0" collapsed="false">
      <c r="A20" s="3" t="s">
        <v>78</v>
      </c>
      <c r="B20" s="8" t="n">
        <f aca="false">Wyjaśnienia!$B$52</f>
        <v>3000</v>
      </c>
      <c r="C20" s="30" t="n">
        <v>1</v>
      </c>
      <c r="D20" s="8" t="n">
        <f aca="false">B20*C20</f>
        <v>3000</v>
      </c>
      <c r="E20" s="3" t="s">
        <v>251</v>
      </c>
    </row>
    <row r="21" customFormat="false" ht="15" hidden="false" customHeight="true" outlineLevel="0" collapsed="false">
      <c r="A21" s="3" t="s">
        <v>252</v>
      </c>
      <c r="B21" s="16" t="n">
        <v>0</v>
      </c>
      <c r="C21" s="30" t="n">
        <v>1</v>
      </c>
      <c r="D21" s="8" t="n">
        <f aca="false">B21*C21</f>
        <v>0</v>
      </c>
      <c r="E21" s="3" t="s">
        <v>253</v>
      </c>
    </row>
    <row r="22" customFormat="false" ht="15" hidden="false" customHeight="true" outlineLevel="0" collapsed="false">
      <c r="A22" s="3" t="s">
        <v>254</v>
      </c>
      <c r="B22" s="8" t="n">
        <f aca="false">Wyjaśnienia!$B$57*2</f>
        <v>800</v>
      </c>
      <c r="C22" s="30" t="n">
        <f aca="false">Wyjaśnienia!$B$56</f>
        <v>10</v>
      </c>
      <c r="D22" s="8" t="n">
        <f aca="false">B22*C22</f>
        <v>8000</v>
      </c>
      <c r="E22" s="3" t="s">
        <v>255</v>
      </c>
    </row>
    <row r="23" customFormat="false" ht="15" hidden="false" customHeight="true" outlineLevel="0" collapsed="false">
      <c r="A23" s="3" t="s">
        <v>90</v>
      </c>
      <c r="B23" s="8" t="n">
        <f aca="false">Wyjaśnienia!$B$58</f>
        <v>3000</v>
      </c>
      <c r="C23" s="30" t="n">
        <v>1</v>
      </c>
      <c r="D23" s="8" t="n">
        <f aca="false">B23*C23</f>
        <v>3000</v>
      </c>
      <c r="E23" s="3" t="s">
        <v>256</v>
      </c>
    </row>
    <row r="24" customFormat="false" ht="15" hidden="false" customHeight="true" outlineLevel="0" collapsed="false">
      <c r="A24" s="3" t="s">
        <v>257</v>
      </c>
      <c r="B24" s="16" t="n">
        <v>0</v>
      </c>
      <c r="C24" s="30" t="n">
        <v>1</v>
      </c>
      <c r="D24" s="8" t="n">
        <f aca="false">B24*C24</f>
        <v>0</v>
      </c>
      <c r="E24" s="3" t="s">
        <v>258</v>
      </c>
    </row>
    <row r="25" customFormat="false" ht="15" hidden="false" customHeight="true" outlineLevel="0" collapsed="false">
      <c r="A25" s="3" t="s">
        <v>259</v>
      </c>
      <c r="B25" s="16" t="n">
        <v>0</v>
      </c>
      <c r="C25" s="30" t="n">
        <v>1</v>
      </c>
      <c r="D25" s="8" t="n">
        <f aca="false">B25*C25</f>
        <v>0</v>
      </c>
      <c r="E25" s="3" t="s">
        <v>260</v>
      </c>
    </row>
    <row r="26" customFormat="false" ht="15" hidden="false" customHeight="true" outlineLevel="0" collapsed="false">
      <c r="A26" s="3" t="s">
        <v>261</v>
      </c>
      <c r="B26" s="16" t="n">
        <v>0</v>
      </c>
      <c r="C26" s="30" t="n">
        <v>1</v>
      </c>
      <c r="D26" s="8" t="n">
        <f aca="false">B26*C26</f>
        <v>0</v>
      </c>
      <c r="E26" s="3" t="s">
        <v>262</v>
      </c>
    </row>
    <row r="27" customFormat="false" ht="15" hidden="false" customHeight="true" outlineLevel="0" collapsed="false">
      <c r="A27" s="10" t="s">
        <v>150</v>
      </c>
      <c r="D27" s="11" t="n">
        <f aca="false">SUM(D18:D26)</f>
        <v>107000</v>
      </c>
    </row>
    <row r="29" customFormat="false" ht="15" hidden="false" customHeight="true" outlineLevel="0" collapsed="false">
      <c r="A29" s="29" t="s">
        <v>151</v>
      </c>
      <c r="B29" s="29"/>
      <c r="C29" s="29"/>
      <c r="D29" s="29"/>
      <c r="E29" s="29"/>
      <c r="F29" s="29"/>
    </row>
    <row r="30" customFormat="false" ht="15" hidden="false" customHeight="true" outlineLevel="0" collapsed="false">
      <c r="A30" s="3" t="s">
        <v>152</v>
      </c>
      <c r="D30" s="8" t="n">
        <f aca="false">Wyjaśnienia!$B$50+Wyjaśnienia!$B$51</f>
        <v>93000</v>
      </c>
    </row>
    <row r="31" customFormat="false" ht="15" hidden="false" customHeight="true" outlineLevel="0" collapsed="false">
      <c r="A31" s="3" t="s">
        <v>153</v>
      </c>
      <c r="D31" s="8" t="n">
        <f aca="false">E14</f>
        <v>41800</v>
      </c>
    </row>
    <row r="32" customFormat="false" ht="15" hidden="false" customHeight="true" outlineLevel="0" collapsed="false">
      <c r="A32" s="3" t="s">
        <v>232</v>
      </c>
      <c r="D32" s="8" t="n">
        <f aca="false">D27-D30</f>
        <v>14000</v>
      </c>
    </row>
    <row r="33" customFormat="false" ht="15" hidden="false" customHeight="true" outlineLevel="0" collapsed="false">
      <c r="A33" s="3" t="s">
        <v>155</v>
      </c>
      <c r="D33" s="8" t="n">
        <f aca="false">(D31+D32)*Wyjaśnienia!$B$59</f>
        <v>6696</v>
      </c>
    </row>
    <row r="34" customFormat="false" ht="15" hidden="false" customHeight="true" outlineLevel="0" collapsed="false">
      <c r="A34" s="10" t="s">
        <v>156</v>
      </c>
      <c r="D34" s="11" t="n">
        <f aca="false">SUM(D30:D33)</f>
        <v>155496</v>
      </c>
    </row>
    <row r="35" customFormat="false" ht="15" hidden="false" customHeight="true" outlineLevel="0" collapsed="false">
      <c r="A35" s="3" t="s">
        <v>157</v>
      </c>
      <c r="D35" s="8" t="n">
        <f aca="false">D34*Wyjaśnienia!$B$29</f>
        <v>35764.08</v>
      </c>
    </row>
    <row r="36" customFormat="false" ht="15" hidden="false" customHeight="true" outlineLevel="0" collapsed="false">
      <c r="A36" s="10" t="s">
        <v>158</v>
      </c>
      <c r="D36" s="11" t="n">
        <f aca="false">D34+D35</f>
        <v>191260.08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2" t="s">
        <v>12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3" t="s">
        <v>263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 t="s">
        <v>264</v>
      </c>
      <c r="B3" s="33"/>
      <c r="C3" s="33"/>
      <c r="D3" s="33"/>
      <c r="E3" s="33"/>
      <c r="F3" s="33"/>
    </row>
    <row r="5" customFormat="false" ht="15" hidden="false" customHeight="true" outlineLevel="0" collapsed="false">
      <c r="A5" s="15" t="s">
        <v>265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4" t="s">
        <v>97</v>
      </c>
      <c r="B6" s="35" t="s">
        <v>266</v>
      </c>
      <c r="C6" s="26"/>
      <c r="D6" s="26"/>
      <c r="E6" s="26"/>
      <c r="F6" s="34" t="s">
        <v>102</v>
      </c>
    </row>
    <row r="7" customFormat="false" ht="15" hidden="false" customHeight="true" outlineLevel="0" collapsed="false">
      <c r="A7" s="26" t="s">
        <v>267</v>
      </c>
      <c r="B7" s="36" t="n">
        <f aca="false">Wyjaśnienia!$B$15</f>
        <v>150</v>
      </c>
      <c r="C7" s="26"/>
      <c r="D7" s="26"/>
      <c r="E7" s="26"/>
      <c r="F7" s="26" t="s">
        <v>268</v>
      </c>
    </row>
    <row r="8" customFormat="false" ht="15" hidden="false" customHeight="true" outlineLevel="0" collapsed="false">
      <c r="A8" s="26" t="s">
        <v>269</v>
      </c>
      <c r="B8" s="36" t="n">
        <f aca="false">Wyjaśnienia!$B$42</f>
        <v>2</v>
      </c>
      <c r="C8" s="26"/>
      <c r="D8" s="26"/>
      <c r="E8" s="26"/>
      <c r="F8" s="26" t="s">
        <v>270</v>
      </c>
    </row>
    <row r="9" customFormat="false" ht="15" hidden="false" customHeight="true" outlineLevel="0" collapsed="false">
      <c r="A9" s="34" t="s">
        <v>271</v>
      </c>
      <c r="B9" s="37" t="n">
        <f aca="false">B7*B8</f>
        <v>300</v>
      </c>
      <c r="C9" s="26"/>
      <c r="D9" s="26"/>
      <c r="E9" s="26"/>
      <c r="F9" s="26" t="s">
        <v>272</v>
      </c>
    </row>
    <row r="10" customFormat="false" ht="15" hidden="false" customHeight="true" outlineLevel="0" collapsed="false">
      <c r="A10" s="26"/>
      <c r="B10" s="26"/>
      <c r="C10" s="26"/>
      <c r="D10" s="26"/>
      <c r="E10" s="26"/>
      <c r="F10" s="26"/>
    </row>
    <row r="11" customFormat="false" ht="15" hidden="false" customHeight="true" outlineLevel="0" collapsed="false">
      <c r="A11" s="15" t="s">
        <v>273</v>
      </c>
      <c r="B11" s="15"/>
      <c r="C11" s="15"/>
      <c r="D11" s="15"/>
      <c r="E11" s="15"/>
      <c r="F11" s="15"/>
    </row>
    <row r="12" customFormat="false" ht="15" hidden="false" customHeight="true" outlineLevel="0" collapsed="false">
      <c r="A12" s="34" t="s">
        <v>97</v>
      </c>
      <c r="B12" s="35" t="s">
        <v>274</v>
      </c>
      <c r="C12" s="35" t="s">
        <v>128</v>
      </c>
      <c r="D12" s="35" t="s">
        <v>101</v>
      </c>
      <c r="E12" s="26"/>
      <c r="F12" s="34" t="s">
        <v>102</v>
      </c>
    </row>
    <row r="13" customFormat="false" ht="15" hidden="false" customHeight="true" outlineLevel="0" collapsed="false">
      <c r="A13" s="26" t="s">
        <v>275</v>
      </c>
      <c r="B13" s="38" t="n">
        <f aca="false">Wyjaśnienia!$B$44</f>
        <v>2500</v>
      </c>
      <c r="C13" s="36" t="n">
        <f aca="false">Wyjaśnienia!$B$45</f>
        <v>15</v>
      </c>
      <c r="D13" s="38" t="n">
        <f aca="false">B13*C13</f>
        <v>37500</v>
      </c>
      <c r="E13" s="26"/>
      <c r="F13" s="26" t="s">
        <v>276</v>
      </c>
    </row>
    <row r="14" customFormat="false" ht="15" hidden="false" customHeight="true" outlineLevel="0" collapsed="false">
      <c r="A14" s="26" t="s">
        <v>277</v>
      </c>
      <c r="B14" s="38" t="n">
        <f aca="false">Wyjaśnienia!$B$43</f>
        <v>500</v>
      </c>
      <c r="C14" s="36" t="n">
        <f aca="false">ROUNDUP(B9/100,0)</f>
        <v>3</v>
      </c>
      <c r="D14" s="38" t="n">
        <f aca="false">B14*C14</f>
        <v>1500</v>
      </c>
      <c r="E14" s="26"/>
      <c r="F14" s="26" t="s">
        <v>278</v>
      </c>
    </row>
    <row r="15" customFormat="false" ht="15" hidden="false" customHeight="true" outlineLevel="0" collapsed="false">
      <c r="A15" s="34" t="s">
        <v>279</v>
      </c>
      <c r="B15" s="26"/>
      <c r="C15" s="26"/>
      <c r="D15" s="39" t="n">
        <f aca="false">SUM(D13:D14)</f>
        <v>39000</v>
      </c>
      <c r="E15" s="26"/>
      <c r="F15" s="26"/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</row>
    <row r="17" customFormat="false" ht="15" hidden="false" customHeight="true" outlineLevel="0" collapsed="false">
      <c r="A17" s="15" t="s">
        <v>126</v>
      </c>
      <c r="B17" s="15"/>
      <c r="C17" s="15"/>
      <c r="D17" s="15"/>
      <c r="E17" s="15"/>
      <c r="F17" s="15"/>
    </row>
    <row r="18" customFormat="false" ht="15" hidden="false" customHeight="true" outlineLevel="0" collapsed="false">
      <c r="A18" s="34" t="s">
        <v>97</v>
      </c>
      <c r="B18" s="35" t="s">
        <v>127</v>
      </c>
      <c r="C18" s="35" t="s">
        <v>128</v>
      </c>
      <c r="D18" s="35" t="s">
        <v>101</v>
      </c>
      <c r="E18" s="26"/>
      <c r="F18" s="34" t="s">
        <v>102</v>
      </c>
    </row>
    <row r="19" customFormat="false" ht="15" hidden="false" customHeight="true" outlineLevel="0" collapsed="false">
      <c r="A19" s="26" t="s">
        <v>280</v>
      </c>
      <c r="B19" s="40" t="n">
        <v>2000</v>
      </c>
      <c r="C19" s="26" t="n">
        <v>1</v>
      </c>
      <c r="D19" s="38" t="n">
        <f aca="false">B19*C19</f>
        <v>2000</v>
      </c>
      <c r="E19" s="26"/>
      <c r="F19" s="26" t="s">
        <v>281</v>
      </c>
    </row>
    <row r="20" customFormat="false" ht="15" hidden="false" customHeight="true" outlineLevel="0" collapsed="false">
      <c r="A20" s="26" t="s">
        <v>282</v>
      </c>
      <c r="B20" s="40" t="n">
        <v>3000</v>
      </c>
      <c r="C20" s="26" t="n">
        <v>1</v>
      </c>
      <c r="D20" s="38" t="n">
        <f aca="false">B20*C20</f>
        <v>3000</v>
      </c>
      <c r="E20" s="26"/>
      <c r="F20" s="26" t="s">
        <v>283</v>
      </c>
    </row>
    <row r="21" customFormat="false" ht="15" hidden="false" customHeight="true" outlineLevel="0" collapsed="false">
      <c r="A21" s="34" t="s">
        <v>150</v>
      </c>
      <c r="B21" s="26"/>
      <c r="C21" s="26"/>
      <c r="D21" s="39" t="n">
        <f aca="false">SUM(D19:D20)</f>
        <v>5000</v>
      </c>
      <c r="E21" s="26"/>
      <c r="F21" s="26"/>
    </row>
    <row r="22" customFormat="false" ht="15" hidden="false" customHeight="true" outlineLevel="0" collapsed="false">
      <c r="A22" s="26"/>
      <c r="B22" s="26"/>
      <c r="C22" s="26"/>
      <c r="D22" s="26"/>
      <c r="E22" s="26"/>
      <c r="F22" s="26"/>
    </row>
    <row r="23" customFormat="false" ht="15" hidden="false" customHeight="true" outlineLevel="0" collapsed="false">
      <c r="A23" s="15" t="s">
        <v>151</v>
      </c>
      <c r="B23" s="15"/>
      <c r="C23" s="15"/>
      <c r="D23" s="15"/>
      <c r="E23" s="15"/>
      <c r="F23" s="15"/>
    </row>
    <row r="24" customFormat="false" ht="15" hidden="false" customHeight="true" outlineLevel="0" collapsed="false">
      <c r="A24" s="26" t="s">
        <v>284</v>
      </c>
      <c r="B24" s="26"/>
      <c r="C24" s="26"/>
      <c r="D24" s="38" t="n">
        <f aca="false">D15</f>
        <v>39000</v>
      </c>
      <c r="E24" s="26"/>
      <c r="F24" s="26"/>
    </row>
    <row r="25" customFormat="false" ht="15" hidden="false" customHeight="true" outlineLevel="0" collapsed="false">
      <c r="A25" s="26" t="s">
        <v>154</v>
      </c>
      <c r="B25" s="26"/>
      <c r="C25" s="26"/>
      <c r="D25" s="38" t="n">
        <f aca="false">D21</f>
        <v>5000</v>
      </c>
      <c r="E25" s="26"/>
      <c r="F25" s="26"/>
    </row>
    <row r="26" customFormat="false" ht="15" hidden="false" customHeight="true" outlineLevel="0" collapsed="false">
      <c r="A26" s="26" t="s">
        <v>285</v>
      </c>
      <c r="B26" s="26"/>
      <c r="C26" s="26"/>
      <c r="D26" s="38" t="n">
        <f aca="false">(D24+D25)*Wyjaśnienia!$B$26</f>
        <v>5280</v>
      </c>
      <c r="E26" s="26"/>
      <c r="F26" s="26"/>
    </row>
    <row r="27" customFormat="false" ht="15" hidden="false" customHeight="true" outlineLevel="0" collapsed="false">
      <c r="A27" s="34" t="s">
        <v>156</v>
      </c>
      <c r="B27" s="26"/>
      <c r="C27" s="26"/>
      <c r="D27" s="39" t="n">
        <f aca="false">SUM(D24:D26)</f>
        <v>49280</v>
      </c>
      <c r="E27" s="26"/>
      <c r="F27" s="26"/>
    </row>
    <row r="28" customFormat="false" ht="15" hidden="false" customHeight="true" outlineLevel="0" collapsed="false">
      <c r="A28" s="26" t="s">
        <v>157</v>
      </c>
      <c r="B28" s="26"/>
      <c r="C28" s="26"/>
      <c r="D28" s="38" t="n">
        <f aca="false">D27*Wyjaśnienia!$B$29</f>
        <v>11334.4</v>
      </c>
      <c r="E28" s="26"/>
      <c r="F28" s="26"/>
    </row>
    <row r="29" customFormat="false" ht="15" hidden="false" customHeight="true" outlineLevel="0" collapsed="false">
      <c r="A29" s="34" t="s">
        <v>158</v>
      </c>
      <c r="B29" s="26"/>
      <c r="C29" s="26"/>
      <c r="D29" s="39" t="n">
        <f aca="false">D27+D28</f>
        <v>60614.4</v>
      </c>
      <c r="E29" s="26"/>
      <c r="F29" s="26"/>
    </row>
    <row r="30" customFormat="false" ht="15" hidden="false" customHeight="true" outlineLevel="0" collapsed="false">
      <c r="A30" s="26"/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5" t="s">
        <v>286</v>
      </c>
      <c r="B31" s="15"/>
      <c r="C31" s="15"/>
      <c r="D31" s="15"/>
      <c r="E31" s="15"/>
      <c r="F31" s="15"/>
    </row>
    <row r="32" customFormat="false" ht="15" hidden="false" customHeight="true" outlineLevel="0" collapsed="false">
      <c r="A32" s="33" t="s">
        <v>287</v>
      </c>
      <c r="B32" s="33"/>
      <c r="C32" s="33"/>
      <c r="D32" s="33"/>
      <c r="E32" s="33"/>
      <c r="F32" s="33"/>
    </row>
    <row r="33" customFormat="false" ht="15" hidden="false" customHeight="true" outlineLevel="0" collapsed="false">
      <c r="A33" s="35" t="s">
        <v>288</v>
      </c>
      <c r="B33" s="35" t="s">
        <v>289</v>
      </c>
      <c r="C33" s="35" t="s">
        <v>290</v>
      </c>
      <c r="D33" s="35" t="s">
        <v>291</v>
      </c>
      <c r="E33" s="35" t="s">
        <v>292</v>
      </c>
      <c r="F33" s="26"/>
    </row>
    <row r="34" customFormat="false" ht="15" hidden="false" customHeight="true" outlineLevel="0" collapsed="false">
      <c r="A34" s="36" t="n">
        <v>150</v>
      </c>
      <c r="B34" s="36" t="n">
        <f aca="false">A34*Wyjaśnienia!$B$42</f>
        <v>300</v>
      </c>
      <c r="C34" s="36" t="n">
        <f aca="false">ROUNDUP(B34/100,0)</f>
        <v>3</v>
      </c>
      <c r="D34" s="38" t="n">
        <f aca="false">C34*Wyjaśnienia!$B$43</f>
        <v>1500</v>
      </c>
      <c r="E34" s="36" t="n">
        <f aca="false">ROUNDUP(B34/Wyjaśnienia!$B$46,0)</f>
        <v>15</v>
      </c>
      <c r="F34" s="26"/>
    </row>
    <row r="35" customFormat="false" ht="15" hidden="false" customHeight="true" outlineLevel="0" collapsed="false">
      <c r="A35" s="36" t="n">
        <v>1000</v>
      </c>
      <c r="B35" s="36" t="n">
        <f aca="false">A35*Wyjaśnienia!$B$42</f>
        <v>2000</v>
      </c>
      <c r="C35" s="36" t="n">
        <f aca="false">ROUNDUP(B35/100,0)</f>
        <v>20</v>
      </c>
      <c r="D35" s="38" t="n">
        <f aca="false">C35*Wyjaśnienia!$B$43</f>
        <v>10000</v>
      </c>
      <c r="E35" s="36" t="n">
        <f aca="false">ROUNDUP(B35/Wyjaśnienia!$B$46,0)</f>
        <v>100</v>
      </c>
      <c r="F35" s="26"/>
    </row>
    <row r="36" customFormat="false" ht="15" hidden="false" customHeight="true" outlineLevel="0" collapsed="false">
      <c r="A36" s="36" t="n">
        <v>10000</v>
      </c>
      <c r="B36" s="36" t="n">
        <f aca="false">A36*Wyjaśnienia!$B$42</f>
        <v>20000</v>
      </c>
      <c r="C36" s="36" t="n">
        <f aca="false">ROUNDUP(B36/100,0)</f>
        <v>200</v>
      </c>
      <c r="D36" s="38" t="n">
        <f aca="false">C36*Wyjaśnienia!$B$43</f>
        <v>100000</v>
      </c>
      <c r="E36" s="36" t="n">
        <f aca="false">ROUNDUP(B36/Wyjaśnienia!$B$46,0)</f>
        <v>1000</v>
      </c>
      <c r="F36" s="26"/>
    </row>
    <row r="37" customFormat="false" ht="15" hidden="false" customHeight="true" outlineLevel="0" collapsed="false">
      <c r="A37" s="36" t="n">
        <v>100000</v>
      </c>
      <c r="B37" s="36" t="n">
        <f aca="false">A37*Wyjaśnienia!$B$42</f>
        <v>200000</v>
      </c>
      <c r="C37" s="36" t="n">
        <f aca="false">ROUNDUP(B37/100,0)</f>
        <v>2000</v>
      </c>
      <c r="D37" s="38" t="n">
        <f aca="false">C37*Wyjaśnienia!$B$43</f>
        <v>1000000</v>
      </c>
      <c r="E37" s="36" t="n">
        <f aca="false">ROUNDUP(B37/Wyjaśnienia!$B$46,0)</f>
        <v>10000</v>
      </c>
      <c r="F37" s="26"/>
    </row>
    <row r="38" customFormat="false" ht="15" hidden="false" customHeight="true" outlineLevel="0" collapsed="false">
      <c r="A38" s="36" t="n">
        <v>1000000</v>
      </c>
      <c r="B38" s="36" t="n">
        <f aca="false">A38*Wyjaśnienia!$B$42</f>
        <v>2000000</v>
      </c>
      <c r="C38" s="36" t="n">
        <f aca="false">ROUNDUP(B38/100,0)</f>
        <v>20000</v>
      </c>
      <c r="D38" s="38" t="n">
        <f aca="false">C38*Wyjaśnienia!$B$43</f>
        <v>10000000</v>
      </c>
      <c r="E38" s="36" t="n">
        <f aca="false">ROUNDUP(B38/Wyjaśnienia!$B$46,0)</f>
        <v>100000</v>
      </c>
      <c r="F38" s="26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2026-10-26T05:06:02Z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