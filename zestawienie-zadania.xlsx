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<sst xmlns="http://schemas.openxmlformats.org/spreadsheetml/2006/main" count="91" uniqueCount="59">
  <si>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</si>
  <si>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edycji.</t>
  </si>
  <si>
    <t xml:space="preserve">Prośba o wskazanie drogi finansowania dotyczy wyłącznie wierszy oznaczonych "tak" w ostatniej kolumnie.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</si>
  <si>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</si>
  <si>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</si>
  <si>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</si>
  <si>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</si>
  <si>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</si>
  <si>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</si>
  <si>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</si>
  <si>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</si>
  <si>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</si>
  <si>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</si>
  <si>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</si>
  <si>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</si>
  <si>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</si>
  <si>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</si>
  <si>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sponsor gali</t>
  </si>
  <si>
    <t xml:space="preserve">Antologia i Archiwum, w tym krótki nakład na galę</t>
  </si>
  <si>
    <t xml:space="preserve">e-book bezpłatny, Archiwum, egzemplarze dla laureatów</t>
  </si>
  <si>
    <t xml:space="preserve">partner wydawniczy lub sponsor organizacyjny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</si>
  <si>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</si>
  <si>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</si>
  <si>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</si>
  <si>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</si>
  <si>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</si>
  <si>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</si>
  <si>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</si>
  <si>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</si>
  <si>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dziesięć nagrań, prawa przy autorach</t>
  </si>
  <si>
    <t xml:space="preserve">Hymn z teledyskiem</t>
  </si>
  <si>
    <t xml:space="preserve">nagranie i premiera w czasie trwania naboru</t>
  </si>
  <si>
    <t xml:space="preserve">2027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</si>
  <si>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</si>
  <si>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</si>
  <si>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</si>
  <si>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</si>
  <si>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</si>
  <si>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</si>
  <si>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</si>
  <si>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</si>
  <si>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</si>
  <si>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</si>
  <si>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</si>
  <si>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</si>
  <si>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</si>
  <si>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</si>
  <si>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</si>
  <si>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</si>
  <si>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</si>
  <si>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</si>
  <si>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</si>
  <si>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</si>
  <si>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</si>
  <si>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</si>
  <si>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</si>
  <si>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</si>
  <si>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</si>
  <si>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ze źródeł prywatnych.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</si>
</sst>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5]#,##0.00&quot; zł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true" outlineLevel="0" collapsed="false">
      <c r="A6" s="5" t="s">
        <v>9</v>
      </c>
      <c r="B6" s="5" t="s">
        <v>10</v>
      </c>
      <c r="C6" s="6" t="s">
        <v>11</v>
      </c>
      <c r="D6" s="7" t="n">
        <v>511996.8</v>
      </c>
      <c r="E6" s="5" t="s">
        <v>12</v>
      </c>
      <c r="F6" s="6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s">
        <v>16</v>
      </c>
      <c r="D7" s="7" t="n">
        <v>35168</v>
      </c>
      <c r="E7" s="5" t="s">
        <v>17</v>
      </c>
      <c r="F7" s="6" t="s">
        <v>13</v>
      </c>
    </row>
    <row r="8" customFormat="false" ht="23.25" hidden="false" customHeight="true" outlineLevel="0" collapsed="false">
      <c r="A8" s="5" t="s">
        <v>18</v>
      </c>
      <c r="B8" s="5" t="s">
        <v>19</v>
      </c>
      <c r="C8" s="6" t="s">
        <v>11</v>
      </c>
      <c r="D8" s="7" t="n">
        <v>292422</v>
      </c>
      <c r="E8" s="5" t="s">
        <v>20</v>
      </c>
      <c r="F8" s="6" t="s">
        <v>13</v>
      </c>
    </row>
    <row r="9" customFormat="false" ht="23.25" hidden="false" customHeight="true" outlineLevel="0" collapsed="false">
      <c r="A9" s="5" t="s">
        <v>21</v>
      </c>
      <c r="B9" s="5" t="s">
        <v>22</v>
      </c>
      <c r="C9" s="6" t="s">
        <v>11</v>
      </c>
      <c r="D9" s="7" t="n">
        <v>160160</v>
      </c>
      <c r="E9" s="5" t="s">
        <v>23</v>
      </c>
      <c r="F9" s="6" t="s">
        <v>13</v>
      </c>
    </row>
    <row r="10" customFormat="false" ht="23.25" hidden="false" customHeight="true" outlineLevel="0" collapsed="false">
      <c r="A10" s="5" t="s">
        <v>24</v>
      </c>
      <c r="B10" s="5" t="s">
        <v>25</v>
      </c>
      <c r="C10" s="6" t="s">
        <v>11</v>
      </c>
      <c r="D10" s="7" t="n">
        <v>99600</v>
      </c>
      <c r="E10" s="5" t="s">
        <v>26</v>
      </c>
      <c r="F10" s="8" t="s">
        <v>27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16</v>
      </c>
      <c r="D11" s="7" t="n">
        <v>75000</v>
      </c>
      <c r="E11" s="5" t="s">
        <v>26</v>
      </c>
      <c r="F11" s="8" t="s">
        <v>27</v>
      </c>
    </row>
    <row r="12" customFormat="false" ht="15" hidden="false" customHeight="true" outlineLevel="0" collapsed="false">
      <c r="A12" s="5" t="s">
        <v>30</v>
      </c>
      <c r="B12" s="5" t="s">
        <v>31</v>
      </c>
      <c r="C12" s="6" t="s">
        <v>32</v>
      </c>
      <c r="D12" s="7" t="n">
        <v>80000</v>
      </c>
      <c r="E12" s="5" t="s">
        <v>26</v>
      </c>
      <c r="F12" s="8" t="s">
        <v>27</v>
      </c>
    </row>
    <row r="13" customFormat="false" ht="15" hidden="false" customHeight="true" outlineLevel="0" collapsed="false">
      <c r="A13" s="5" t="s">
        <v>33</v>
      </c>
      <c r="B13" s="5" t="s">
        <v>34</v>
      </c>
      <c r="C13" s="6" t="s">
        <v>16</v>
      </c>
      <c r="D13" s="9" t="s">
        <v>35</v>
      </c>
      <c r="E13" s="5" t="s">
        <v>26</v>
      </c>
      <c r="F13" s="8" t="s">
        <v>27</v>
      </c>
    </row>
    <row r="14" customFormat="false" ht="23.25" hidden="false" customHeight="true" outlineLevel="0" collapsed="false">
      <c r="A14" s="5" t="s">
        <v>36</v>
      </c>
      <c r="B14" s="5" t="s">
        <v>37</v>
      </c>
      <c r="C14" s="6" t="s">
        <v>11</v>
      </c>
      <c r="D14" s="7" t="n">
        <v>154480</v>
      </c>
      <c r="E14" s="5" t="s">
        <v>38</v>
      </c>
      <c r="F14" s="8" t="s">
        <v>27</v>
      </c>
    </row>
    <row r="15" customFormat="false" ht="23.25" hidden="false" customHeight="true" outlineLevel="0" collapsed="false">
      <c r="A15" s="5" t="s">
        <v>39</v>
      </c>
      <c r="B15" s="5" t="s">
        <v>40</v>
      </c>
      <c r="C15" s="6" t="s">
        <v>16</v>
      </c>
      <c r="D15" s="9" t="s">
        <v>35</v>
      </c>
      <c r="E15" s="5" t="s">
        <v>38</v>
      </c>
      <c r="F15" s="8" t="s">
        <v>27</v>
      </c>
    </row>
    <row r="16" customFormat="false" ht="23.25" hidden="false" customHeight="true" outlineLevel="0" collapsed="false">
      <c r="A16" s="5" t="s">
        <v>41</v>
      </c>
      <c r="B16" s="5" t="s">
        <v>42</v>
      </c>
      <c r="C16" s="6" t="s">
        <v>16</v>
      </c>
      <c r="D16" s="9" t="s">
        <v>35</v>
      </c>
      <c r="E16" s="5" t="s">
        <v>43</v>
      </c>
      <c r="F16" s="6" t="s">
        <v>13</v>
      </c>
    </row>
    <row r="17" customFormat="false" ht="23.25" hidden="false" customHeight="true" outlineLevel="0" collapsed="false">
      <c r="A17" s="5" t="s">
        <v>44</v>
      </c>
      <c r="B17" s="5" t="s">
        <v>45</v>
      </c>
      <c r="C17" s="6" t="s">
        <v>11</v>
      </c>
      <c r="D17" s="7" t="n">
        <v>256800</v>
      </c>
      <c r="E17" s="5" t="s">
        <v>46</v>
      </c>
      <c r="F17" s="8" t="s">
        <v>27</v>
      </c>
    </row>
    <row r="18" customFormat="false" ht="23.25" hidden="false" customHeight="true" outlineLevel="0" collapsed="false">
      <c r="A18" s="5" t="s">
        <v>47</v>
      </c>
      <c r="B18" s="5" t="s">
        <v>48</v>
      </c>
      <c r="C18" s="6" t="s">
        <v>16</v>
      </c>
      <c r="D18" s="9" t="s">
        <v>35</v>
      </c>
      <c r="E18" s="5" t="s">
        <v>46</v>
      </c>
      <c r="F18" s="8" t="s">
        <v>27</v>
      </c>
    </row>
    <row r="19" customFormat="false" ht="15" hidden="false" customHeight="true" outlineLevel="0" collapsed="false">
      <c r="A19" s="5" t="s">
        <v>49</v>
      </c>
      <c r="B19" s="5" t="s">
        <v>50</v>
      </c>
      <c r="C19" s="6" t="s">
        <v>32</v>
      </c>
      <c r="D19" s="9" t="s">
        <v>35</v>
      </c>
      <c r="E19" s="5" t="s">
        <v>51</v>
      </c>
      <c r="F19" s="6" t="s">
        <v>13</v>
      </c>
    </row>
    <row r="21" customFormat="false" ht="15" hidden="false" customHeight="true" outlineLevel="0" collapsed="false">
      <c r="A21" s="10" t="s">
        <v>52</v>
      </c>
      <c r="D21" s="11" t="n">
        <f aca="false">SUMIFS(D6:D19,F6:F19,"tak")</f>
        <v>665880</v>
      </c>
    </row>
    <row r="22" customFormat="false" ht="15" hidden="false" customHeight="true" outlineLevel="0" collapsed="false">
      <c r="A22" s="12" t="s">
        <v>53</v>
      </c>
      <c r="D22" s="13" t="n">
        <f aca="false">SUM(D6:D19)</f>
        <v>1665626.8</v>
      </c>
    </row>
    <row r="24" customFormat="false" ht="15" hidden="false" customHeight="true" outlineLevel="0" collapsed="false">
      <c r="A24" s="14" t="s">
        <v>54</v>
      </c>
    </row>
    <row r="26" customFormat="false" ht="15" hidden="false" customHeight="true" outlineLevel="0" collapsed="false">
      <c r="A26" s="15" t="s">
        <v>55</v>
      </c>
    </row>
    <row r="27" customFormat="false" ht="15" hidden="false" customHeight="true" outlineLevel="0" collapsed="false">
      <c r="A27" s="14" t="s">
        <v>56</v>
      </c>
    </row>
    <row r="28" customFormat="false" ht="15" hidden="false" customHeight="true" outlineLevel="0" collapsed="false">
      <c r="A28" s="14" t="s">
        <v>57</v>
      </c>
    </row>
    <row r="29" customFormat="false" ht="15" hidden="false" customHeight="true" outlineLevel="0" collapsed="false">
      <c r="A29" s="1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2026-10-29T13:37:01Z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